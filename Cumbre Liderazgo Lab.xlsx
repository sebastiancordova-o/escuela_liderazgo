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b6451ed091afc3f/Personal/Cate/Cumbre de Liderazgo/"/>
    </mc:Choice>
  </mc:AlternateContent>
  <xr:revisionPtr revIDLastSave="24" documentId="8_{5F27173F-7904-42F3-9392-F6B85EC4191E}" xr6:coauthVersionLast="47" xr6:coauthVersionMax="47" xr10:uidLastSave="{4DBFBBDD-72C9-4C84-BE24-7B43728F84E8}"/>
  <bookViews>
    <workbookView xWindow="-110" yWindow="-110" windowWidth="19420" windowHeight="11500" activeTab="1" xr2:uid="{00000000-000D-0000-FFFF-FFFF00000000}"/>
  </bookViews>
  <sheets>
    <sheet name="Resumen Total" sheetId="7" r:id="rId1"/>
    <sheet name="Respuestas de formulario 1" sheetId="1" r:id="rId2"/>
    <sheet name="Plataforma" sheetId="2" r:id="rId3"/>
    <sheet name="Cartola" sheetId="3" r:id="rId4"/>
    <sheet name="Ofrenda" sheetId="4" r:id="rId5"/>
  </sheets>
  <calcPr calcId="191029"/>
  <pivotCaches>
    <pivotCache cacheId="1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7" l="1"/>
  <c r="B19" i="7"/>
  <c r="B17" i="7"/>
  <c r="B2" i="4"/>
  <c r="AD104" i="3"/>
  <c r="AF104" i="3"/>
  <c r="AB104" i="3"/>
  <c r="Z104" i="3"/>
  <c r="X104" i="3"/>
  <c r="V104" i="3"/>
  <c r="T104" i="3"/>
  <c r="R104" i="3"/>
  <c r="P104" i="3"/>
  <c r="N104" i="3"/>
  <c r="L56" i="3"/>
  <c r="J56" i="3"/>
  <c r="H56" i="3"/>
  <c r="F56" i="3"/>
  <c r="D56" i="3"/>
  <c r="B44" i="3"/>
  <c r="B61" i="3" s="1"/>
  <c r="C10" i="7"/>
  <c r="C9" i="7"/>
  <c r="C8" i="7"/>
  <c r="C7" i="7"/>
  <c r="C6" i="7"/>
  <c r="C5" i="7"/>
  <c r="C4" i="7"/>
  <c r="C12" i="7" l="1"/>
  <c r="C14" i="7" l="1"/>
</calcChain>
</file>

<file path=xl/sharedStrings.xml><?xml version="1.0" encoding="utf-8"?>
<sst xmlns="http://schemas.openxmlformats.org/spreadsheetml/2006/main" count="4084" uniqueCount="1872">
  <si>
    <t>Marca temporal</t>
  </si>
  <si>
    <t>NOMBRE</t>
  </si>
  <si>
    <t>APELLIDO 1</t>
  </si>
  <si>
    <t>APELLIDO 2</t>
  </si>
  <si>
    <t>RUT</t>
  </si>
  <si>
    <t>FECHA DE NACIMIENTO</t>
  </si>
  <si>
    <t>TELEFONO (+569 XXXXXXXX)</t>
  </si>
  <si>
    <t>TIPO DE ASISTENTE</t>
  </si>
  <si>
    <t>ORGANIZACION</t>
  </si>
  <si>
    <t>EMAIL</t>
  </si>
  <si>
    <t>Pastor de Red</t>
  </si>
  <si>
    <t>Pago</t>
  </si>
  <si>
    <t>Plataforma</t>
  </si>
  <si>
    <t>Columna 1</t>
  </si>
  <si>
    <t>Amparo</t>
  </si>
  <si>
    <t>Abeleida</t>
  </si>
  <si>
    <t>Soto</t>
  </si>
  <si>
    <t>22.319.539-3</t>
  </si>
  <si>
    <t>3171 4303</t>
  </si>
  <si>
    <t>Estudiante ($5.000)</t>
  </si>
  <si>
    <t>Encuentro con Cristo</t>
  </si>
  <si>
    <t>abeleidaampi@gmail.com</t>
  </si>
  <si>
    <t>Visita</t>
  </si>
  <si>
    <t>NR</t>
  </si>
  <si>
    <t xml:space="preserve">Claudia </t>
  </si>
  <si>
    <t>Acosta</t>
  </si>
  <si>
    <t>Torrealba</t>
  </si>
  <si>
    <t>+569 82836971</t>
  </si>
  <si>
    <t>Liderazgo general ($10.000)</t>
  </si>
  <si>
    <t>Catedral de la Alabanza</t>
  </si>
  <si>
    <t>Catorrealba@gmail.com</t>
  </si>
  <si>
    <t>Christian Jara</t>
  </si>
  <si>
    <t>NC</t>
  </si>
  <si>
    <t xml:space="preserve">Felipe </t>
  </si>
  <si>
    <t>Ahumada</t>
  </si>
  <si>
    <t>García</t>
  </si>
  <si>
    <t>17776735-2</t>
  </si>
  <si>
    <t>+56965802575</t>
  </si>
  <si>
    <t>Iglesia invitada</t>
  </si>
  <si>
    <t>felipe.ahumada.garcia@gmail.com</t>
  </si>
  <si>
    <t>MC</t>
  </si>
  <si>
    <t>Valentina</t>
  </si>
  <si>
    <t>Lopez</t>
  </si>
  <si>
    <t>18570949-3</t>
  </si>
  <si>
    <t>+56927678190</t>
  </si>
  <si>
    <t>valentina.ahumada22@gmail.com</t>
  </si>
  <si>
    <t>Pagado</t>
  </si>
  <si>
    <t>X</t>
  </si>
  <si>
    <t>Maria Elena</t>
  </si>
  <si>
    <t>Alberstad</t>
  </si>
  <si>
    <t>14551318-9</t>
  </si>
  <si>
    <t>56 9 9985 0450</t>
  </si>
  <si>
    <t>Profeenmision2020@gmail.com</t>
  </si>
  <si>
    <t>José Ferrada</t>
  </si>
  <si>
    <t xml:space="preserve">Maria Alejandra </t>
  </si>
  <si>
    <t xml:space="preserve">Alcarraz </t>
  </si>
  <si>
    <t xml:space="preserve">Gutiérrez </t>
  </si>
  <si>
    <t>Alejandra.alcarraz@gmail.com</t>
  </si>
  <si>
    <t>Genoveva Navales</t>
  </si>
  <si>
    <t>MT</t>
  </si>
  <si>
    <t>Martin</t>
  </si>
  <si>
    <t xml:space="preserve">Alcavil </t>
  </si>
  <si>
    <t xml:space="preserve">Troncoso </t>
  </si>
  <si>
    <t>22300962k</t>
  </si>
  <si>
    <t>+56987332703</t>
  </si>
  <si>
    <t>Altronmartin8@gmail.com</t>
  </si>
  <si>
    <t>Estudiante</t>
  </si>
  <si>
    <t>Bastian</t>
  </si>
  <si>
    <t>Alfaro</t>
  </si>
  <si>
    <t>Venegas</t>
  </si>
  <si>
    <t>21.675.447-6</t>
  </si>
  <si>
    <t>basti098alfaro@gmail.com</t>
  </si>
  <si>
    <t>Otra Iglesia</t>
  </si>
  <si>
    <t xml:space="preserve">Juan Carlos </t>
  </si>
  <si>
    <t xml:space="preserve">Alfaro </t>
  </si>
  <si>
    <t xml:space="preserve">Canales </t>
  </si>
  <si>
    <t>13283900-k</t>
  </si>
  <si>
    <t>+56965244914</t>
  </si>
  <si>
    <t>Visita ($5.000)</t>
  </si>
  <si>
    <t>Alfarocanalesjuan@gmail.com</t>
  </si>
  <si>
    <t xml:space="preserve">Jose </t>
  </si>
  <si>
    <t>Alvarez</t>
  </si>
  <si>
    <t xml:space="preserve">Garcia </t>
  </si>
  <si>
    <t>26983012-3</t>
  </si>
  <si>
    <t>Jose7alvarez@gmail.com</t>
  </si>
  <si>
    <t>Victoria</t>
  </si>
  <si>
    <t>Alvial</t>
  </si>
  <si>
    <t>Medina</t>
  </si>
  <si>
    <t>20464355-5</t>
  </si>
  <si>
    <t>+56988532947</t>
  </si>
  <si>
    <t>victoria.alvial04@gmail.com</t>
  </si>
  <si>
    <t>Flor Arcos</t>
  </si>
  <si>
    <t xml:space="preserve">Marlene </t>
  </si>
  <si>
    <t xml:space="preserve">Alvial </t>
  </si>
  <si>
    <t xml:space="preserve">Medina </t>
  </si>
  <si>
    <t>13.487.311-6</t>
  </si>
  <si>
    <t>+56981209818</t>
  </si>
  <si>
    <t>mar.alvial@gmail.com</t>
  </si>
  <si>
    <t>NN</t>
  </si>
  <si>
    <t>Hugo</t>
  </si>
  <si>
    <t>Amaya</t>
  </si>
  <si>
    <t>Galdames</t>
  </si>
  <si>
    <t>7844214-k</t>
  </si>
  <si>
    <t>1/9/0059</t>
  </si>
  <si>
    <t>+56998218606</t>
  </si>
  <si>
    <t>huguito-amaya@hotmail.com</t>
  </si>
  <si>
    <t>FS</t>
  </si>
  <si>
    <t>Luz dqry</t>
  </si>
  <si>
    <t>Amu</t>
  </si>
  <si>
    <t>Castillo</t>
  </si>
  <si>
    <t>24168341-9</t>
  </si>
  <si>
    <t>luzdaryamucastillo@gmail.com</t>
  </si>
  <si>
    <t xml:space="preserve">Sergio Cristian </t>
  </si>
  <si>
    <t>Ancan</t>
  </si>
  <si>
    <t>Rojas</t>
  </si>
  <si>
    <t>+56954206719</t>
  </si>
  <si>
    <t>Scar03202304@gmail.com</t>
  </si>
  <si>
    <t xml:space="preserve">Monica </t>
  </si>
  <si>
    <t xml:space="preserve">Aranda </t>
  </si>
  <si>
    <t xml:space="preserve">Rojas </t>
  </si>
  <si>
    <t>+56993725750</t>
  </si>
  <si>
    <t>Monaranda@gmail.com</t>
  </si>
  <si>
    <t>Juan Manuel Caro</t>
  </si>
  <si>
    <t xml:space="preserve">Arturo </t>
  </si>
  <si>
    <t>Araneda</t>
  </si>
  <si>
    <t>Flores</t>
  </si>
  <si>
    <t xml:space="preserve">13615843-0 </t>
  </si>
  <si>
    <t>+56991383818</t>
  </si>
  <si>
    <t>Arturo.araneda@gmail.com</t>
  </si>
  <si>
    <t>Agustina</t>
  </si>
  <si>
    <t xml:space="preserve">Araneda </t>
  </si>
  <si>
    <t>Serrano</t>
  </si>
  <si>
    <t>23801022-5</t>
  </si>
  <si>
    <t>+56 9 4896 7142</t>
  </si>
  <si>
    <t>agustinas201111@gmail.com</t>
  </si>
  <si>
    <t>Daniela</t>
  </si>
  <si>
    <t>Aranguiz</t>
  </si>
  <si>
    <t>Negrete</t>
  </si>
  <si>
    <t>14183916-0</t>
  </si>
  <si>
    <t>56 9 9684 4212</t>
  </si>
  <si>
    <t>danielaranguiz81@gmail.com</t>
  </si>
  <si>
    <t>llego</t>
  </si>
  <si>
    <t>Josefina Esther</t>
  </si>
  <si>
    <t>Arauna</t>
  </si>
  <si>
    <t>troncoso</t>
  </si>
  <si>
    <t>22341928-3</t>
  </si>
  <si>
    <t>oarauna@gmail.com</t>
  </si>
  <si>
    <t>Oscar Miguel</t>
  </si>
  <si>
    <t>Alvarado</t>
  </si>
  <si>
    <t>12921454-6</t>
  </si>
  <si>
    <t xml:space="preserve">Karem </t>
  </si>
  <si>
    <t>Aravena</t>
  </si>
  <si>
    <t>Palacios</t>
  </si>
  <si>
    <t>13286467-5</t>
  </si>
  <si>
    <t>+56956592216</t>
  </si>
  <si>
    <t>Karemaravena24@gmail.com</t>
  </si>
  <si>
    <t>Priscilla Solange</t>
  </si>
  <si>
    <t>Araya</t>
  </si>
  <si>
    <t xml:space="preserve">Mora </t>
  </si>
  <si>
    <t xml:space="preserve">14126479-6 </t>
  </si>
  <si>
    <t>+569 99650714</t>
  </si>
  <si>
    <t>Arayapriscilla102@gmail.com</t>
  </si>
  <si>
    <t>Sergio</t>
  </si>
  <si>
    <t>Contreras</t>
  </si>
  <si>
    <t>+56990005577</t>
  </si>
  <si>
    <t xml:space="preserve">Pastores amigos invitados </t>
  </si>
  <si>
    <t>sergio@enelatrio.cl</t>
  </si>
  <si>
    <t xml:space="preserve">Christian </t>
  </si>
  <si>
    <t>Arcos</t>
  </si>
  <si>
    <t>Fuentes</t>
  </si>
  <si>
    <t>christian.arcos.f@gmail.com</t>
  </si>
  <si>
    <t>Flor</t>
  </si>
  <si>
    <t>.</t>
  </si>
  <si>
    <t>6.697.276-3</t>
  </si>
  <si>
    <t>56 9 6810 3062</t>
  </si>
  <si>
    <t>Flor.arcos18@gmail.com</t>
  </si>
  <si>
    <t>Jorge</t>
  </si>
  <si>
    <t>Arriagada</t>
  </si>
  <si>
    <t>10.831.002-2</t>
  </si>
  <si>
    <t>Jarriagada@artecsillas.cl</t>
  </si>
  <si>
    <t>Paulina</t>
  </si>
  <si>
    <t>+56934300775</t>
  </si>
  <si>
    <t>paulinaximena@gmail.com</t>
  </si>
  <si>
    <t>Ivonne</t>
  </si>
  <si>
    <t>Aviles</t>
  </si>
  <si>
    <t>Gonzalez</t>
  </si>
  <si>
    <t>8.598.446-2</t>
  </si>
  <si>
    <t>+56977640643</t>
  </si>
  <si>
    <t>Yvonestey123@hotmail.com</t>
  </si>
  <si>
    <t xml:space="preserve">Denisse Macarena </t>
  </si>
  <si>
    <t xml:space="preserve">Badilla </t>
  </si>
  <si>
    <t>Tiznado</t>
  </si>
  <si>
    <t>17.422.789-6</t>
  </si>
  <si>
    <t>denissebadillat@gmail.com</t>
  </si>
  <si>
    <t>Chistian Jara</t>
  </si>
  <si>
    <t xml:space="preserve">Andrés </t>
  </si>
  <si>
    <t>Barrera</t>
  </si>
  <si>
    <t>andresb.jba@gmail.com</t>
  </si>
  <si>
    <t>Isabel</t>
  </si>
  <si>
    <t>Barros</t>
  </si>
  <si>
    <t>+569 90626933</t>
  </si>
  <si>
    <t>isabel31ba@gmail.com</t>
  </si>
  <si>
    <t>Blanca</t>
  </si>
  <si>
    <t>Bascuñan</t>
  </si>
  <si>
    <t xml:space="preserve">Pérez </t>
  </si>
  <si>
    <t>12504662-2</t>
  </si>
  <si>
    <t>+56992894247</t>
  </si>
  <si>
    <t>Blanca.bascunan.perez1973@gmail.com</t>
  </si>
  <si>
    <t>Gustavo</t>
  </si>
  <si>
    <t>Bascuñán</t>
  </si>
  <si>
    <t>Sarmiento</t>
  </si>
  <si>
    <t>+56958914852</t>
  </si>
  <si>
    <t>Gbascunan.sarmiento@gmail.com</t>
  </si>
  <si>
    <t xml:space="preserve">Cecilia </t>
  </si>
  <si>
    <t xml:space="preserve">Benucci </t>
  </si>
  <si>
    <t xml:space="preserve">Faundez </t>
  </si>
  <si>
    <t>Ceciliabncc@gmail.com</t>
  </si>
  <si>
    <t>Angelica</t>
  </si>
  <si>
    <t>Bobadilla</t>
  </si>
  <si>
    <t>Diaz</t>
  </si>
  <si>
    <t>9068051-k</t>
  </si>
  <si>
    <t>7/29/0060</t>
  </si>
  <si>
    <t>+56950579970</t>
  </si>
  <si>
    <t>angelita142009@gmail.com</t>
  </si>
  <si>
    <t xml:space="preserve">Roberto </t>
  </si>
  <si>
    <t>Bravo</t>
  </si>
  <si>
    <t>Hernandez</t>
  </si>
  <si>
    <t>+56972256256</t>
  </si>
  <si>
    <t>roberto.bravo.h@gmail.com</t>
  </si>
  <si>
    <t>Manuel</t>
  </si>
  <si>
    <t>Bustamante</t>
  </si>
  <si>
    <t>Ferrada</t>
  </si>
  <si>
    <t>manuel.bustamante@outlook.com</t>
  </si>
  <si>
    <t xml:space="preserve">Pablo </t>
  </si>
  <si>
    <t xml:space="preserve">Bustamante </t>
  </si>
  <si>
    <t xml:space="preserve">Ferrada </t>
  </si>
  <si>
    <t>+56 9 9631 8699</t>
  </si>
  <si>
    <t>Pablo.bustamantef@outlook.es</t>
  </si>
  <si>
    <t>Gabriela</t>
  </si>
  <si>
    <t>Bustos</t>
  </si>
  <si>
    <t>Martinez</t>
  </si>
  <si>
    <t xml:space="preserve">10.873.844-8 </t>
  </si>
  <si>
    <t xml:space="preserve">Bustosmartinezg@gmail.com </t>
  </si>
  <si>
    <t>Pedro Jaime</t>
  </si>
  <si>
    <t>9495859-8</t>
  </si>
  <si>
    <t>+56995344472</t>
  </si>
  <si>
    <t>pbustos@jawa.cl</t>
  </si>
  <si>
    <t>Vicente</t>
  </si>
  <si>
    <t xml:space="preserve">Inostroza </t>
  </si>
  <si>
    <t>22.754.349-3</t>
  </si>
  <si>
    <t>+56953801420</t>
  </si>
  <si>
    <t>bustosvicente06@gmail.com</t>
  </si>
  <si>
    <t xml:space="preserve">Cabrera </t>
  </si>
  <si>
    <t>Carreño</t>
  </si>
  <si>
    <t>+56962097243</t>
  </si>
  <si>
    <t>Ccabrerac@gmail.com</t>
  </si>
  <si>
    <t>Carlos</t>
  </si>
  <si>
    <t>Calderón</t>
  </si>
  <si>
    <t>Olivares</t>
  </si>
  <si>
    <t>carlos.calderon.o@gmail.com</t>
  </si>
  <si>
    <t>Cheryl Andrea</t>
  </si>
  <si>
    <t xml:space="preserve">Calderón </t>
  </si>
  <si>
    <t>Garrido</t>
  </si>
  <si>
    <t>13487126-1</t>
  </si>
  <si>
    <t>cheryl.calderon@bicehipotecaria.cl</t>
  </si>
  <si>
    <t>Catalina</t>
  </si>
  <si>
    <t>Calfil</t>
  </si>
  <si>
    <t>Silva</t>
  </si>
  <si>
    <t>17413494-4</t>
  </si>
  <si>
    <t>Calfil.catalina@gmail.com</t>
  </si>
  <si>
    <t>Myriam luz</t>
  </si>
  <si>
    <t>Cano</t>
  </si>
  <si>
    <t>10399911-1</t>
  </si>
  <si>
    <t>+56978678709</t>
  </si>
  <si>
    <t>Mimicano@gmail.com</t>
  </si>
  <si>
    <t xml:space="preserve">Barbara </t>
  </si>
  <si>
    <t xml:space="preserve">Cañete </t>
  </si>
  <si>
    <t xml:space="preserve">13641012-1 </t>
  </si>
  <si>
    <t>+56944589428</t>
  </si>
  <si>
    <t>Bcaneteb@gmail.com</t>
  </si>
  <si>
    <t xml:space="preserve">Francisco </t>
  </si>
  <si>
    <t>Caro</t>
  </si>
  <si>
    <t xml:space="preserve">Saavedra </t>
  </si>
  <si>
    <t>+56977613580</t>
  </si>
  <si>
    <t>Carofrancisco217@gmail.com</t>
  </si>
  <si>
    <t>Juan Manuel</t>
  </si>
  <si>
    <t xml:space="preserve">Hidalgo </t>
  </si>
  <si>
    <t>+56958586286</t>
  </si>
  <si>
    <t>juan.manuel.caro.h@gmail.com</t>
  </si>
  <si>
    <t>Noemí</t>
  </si>
  <si>
    <t>Saavedra</t>
  </si>
  <si>
    <t xml:space="preserve">21117820-5 </t>
  </si>
  <si>
    <t>+56974458186</t>
  </si>
  <si>
    <t>noemicaros@uc.cl</t>
  </si>
  <si>
    <t>Ok</t>
  </si>
  <si>
    <t>Joaquin</t>
  </si>
  <si>
    <t>Caroca</t>
  </si>
  <si>
    <t>+56939298406</t>
  </si>
  <si>
    <t>juaco_9_98@hotmail.com</t>
  </si>
  <si>
    <t>simon</t>
  </si>
  <si>
    <t>caroca</t>
  </si>
  <si>
    <t>gonzalez</t>
  </si>
  <si>
    <t>22611037-2</t>
  </si>
  <si>
    <t>simoncaroca224@gmail.com</t>
  </si>
  <si>
    <t xml:space="preserve">Yasna </t>
  </si>
  <si>
    <t xml:space="preserve">Carvajal </t>
  </si>
  <si>
    <t xml:space="preserve">Vargas </t>
  </si>
  <si>
    <t xml:space="preserve">16266628-2 </t>
  </si>
  <si>
    <t>+56978639328</t>
  </si>
  <si>
    <t>Ycarvajalv@gmail.com</t>
  </si>
  <si>
    <t>Scharom</t>
  </si>
  <si>
    <t>Castellón</t>
  </si>
  <si>
    <t>Capetillo</t>
  </si>
  <si>
    <t>16.128.754-7</t>
  </si>
  <si>
    <t>Scharom@gmail.com</t>
  </si>
  <si>
    <t xml:space="preserve">Carol </t>
  </si>
  <si>
    <t xml:space="preserve">Castillo </t>
  </si>
  <si>
    <t xml:space="preserve">Trujillo </t>
  </si>
  <si>
    <t>castillo.trujillo@gmail.com</t>
  </si>
  <si>
    <t xml:space="preserve"> Bernardino </t>
  </si>
  <si>
    <t>Castro</t>
  </si>
  <si>
    <t>Guajardo</t>
  </si>
  <si>
    <t>12368295-5</t>
  </si>
  <si>
    <t>+56992507457</t>
  </si>
  <si>
    <t>edu.1914@gmail.com</t>
  </si>
  <si>
    <t xml:space="preserve">Constanza </t>
  </si>
  <si>
    <t>Marcoleta</t>
  </si>
  <si>
    <t>21773790-7</t>
  </si>
  <si>
    <t>Constanza.cm124@gmail.com</t>
  </si>
  <si>
    <t>Eduardo</t>
  </si>
  <si>
    <t>20939196-1</t>
  </si>
  <si>
    <t>+56953074431</t>
  </si>
  <si>
    <t>pgrr.ckie@gmail.com</t>
  </si>
  <si>
    <t>Inga</t>
  </si>
  <si>
    <t>Machuca</t>
  </si>
  <si>
    <t>mcastro.in@gmail.com</t>
  </si>
  <si>
    <t>Macarena</t>
  </si>
  <si>
    <t>19792720-8</t>
  </si>
  <si>
    <t>+56988688669</t>
  </si>
  <si>
    <t>Castro.macarencl@gmail.com</t>
  </si>
  <si>
    <t xml:space="preserve">Castro </t>
  </si>
  <si>
    <t xml:space="preserve">Barahona </t>
  </si>
  <si>
    <t>10346988-0</t>
  </si>
  <si>
    <t>josemcastro@hotmail.com</t>
  </si>
  <si>
    <t xml:space="preserve">Elizabeth </t>
  </si>
  <si>
    <t xml:space="preserve">Céspedes </t>
  </si>
  <si>
    <t xml:space="preserve">Alarcón </t>
  </si>
  <si>
    <t>13205083k</t>
  </si>
  <si>
    <t>+56961663856</t>
  </si>
  <si>
    <t>ICVR</t>
  </si>
  <si>
    <t>ely.carmen7171@gmail.com</t>
  </si>
  <si>
    <t>Pablo</t>
  </si>
  <si>
    <t xml:space="preserve">Chacón </t>
  </si>
  <si>
    <t>Aguirre</t>
  </si>
  <si>
    <t xml:space="preserve">17047467-8 </t>
  </si>
  <si>
    <t>+56948686388</t>
  </si>
  <si>
    <t>palini.xacon@gmail.com</t>
  </si>
  <si>
    <t>Rosa</t>
  </si>
  <si>
    <t>Chavarria</t>
  </si>
  <si>
    <t>+569 87238821</t>
  </si>
  <si>
    <t>chavarria.rosa@gmail.com</t>
  </si>
  <si>
    <t>dchavez.g90@gmail.com</t>
  </si>
  <si>
    <t xml:space="preserve">Danny </t>
  </si>
  <si>
    <t xml:space="preserve">Chávez </t>
  </si>
  <si>
    <t>Cecilia</t>
  </si>
  <si>
    <t xml:space="preserve">Cisternas </t>
  </si>
  <si>
    <t>Ramirez</t>
  </si>
  <si>
    <t xml:space="preserve">8700225-k </t>
  </si>
  <si>
    <t xml:space="preserve">Cecycisternas59@gmail.com </t>
  </si>
  <si>
    <t xml:space="preserve">Nelson </t>
  </si>
  <si>
    <t xml:space="preserve">Cofré </t>
  </si>
  <si>
    <t xml:space="preserve">Reyes </t>
  </si>
  <si>
    <t>11.270.134-6</t>
  </si>
  <si>
    <t>+56998718326</t>
  </si>
  <si>
    <t>ncofre@gmail.com</t>
  </si>
  <si>
    <t>Yasmeury Carolina</t>
  </si>
  <si>
    <t xml:space="preserve">Colmenares </t>
  </si>
  <si>
    <t>Pinto</t>
  </si>
  <si>
    <t>27486136-3</t>
  </si>
  <si>
    <t>+56930235086</t>
  </si>
  <si>
    <t>sebemajoely@gmail.com</t>
  </si>
  <si>
    <t>Paola</t>
  </si>
  <si>
    <t xml:space="preserve">Corales </t>
  </si>
  <si>
    <t>Pereda</t>
  </si>
  <si>
    <t>12.154.401-6</t>
  </si>
  <si>
    <t>9- 77311707</t>
  </si>
  <si>
    <t>pao.corales@gmail.com</t>
  </si>
  <si>
    <t>Paola Andrea</t>
  </si>
  <si>
    <t>Cordova</t>
  </si>
  <si>
    <t>10.720.023-1</t>
  </si>
  <si>
    <t>9-7106 1331</t>
  </si>
  <si>
    <t>pola.cordova.mar@gmail.com</t>
  </si>
  <si>
    <t>Sebastian</t>
  </si>
  <si>
    <t>Oliva</t>
  </si>
  <si>
    <t>sebastiancordova.o@gmail.com</t>
  </si>
  <si>
    <t>Abhishek</t>
  </si>
  <si>
    <t>23783479-8</t>
  </si>
  <si>
    <t>abhishek.diaz@educacionadventista.cl</t>
  </si>
  <si>
    <t xml:space="preserve">Cristopher </t>
  </si>
  <si>
    <t>Aguilera</t>
  </si>
  <si>
    <t>diazcristopher985@gmail.com</t>
  </si>
  <si>
    <t>Glenda</t>
  </si>
  <si>
    <t>Mora</t>
  </si>
  <si>
    <t>41399513-2</t>
  </si>
  <si>
    <t>Glendadiaz1104@gmail.com</t>
  </si>
  <si>
    <t xml:space="preserve">Jaime </t>
  </si>
  <si>
    <t>Diocares</t>
  </si>
  <si>
    <t>Guiñez</t>
  </si>
  <si>
    <t>10323536-7</t>
  </si>
  <si>
    <t>Jjdiogui@gmail.com</t>
  </si>
  <si>
    <t>ERICO</t>
  </si>
  <si>
    <t>DOMENE</t>
  </si>
  <si>
    <t>YOST</t>
  </si>
  <si>
    <t>10/27/1696</t>
  </si>
  <si>
    <t>+56928855751</t>
  </si>
  <si>
    <t>domeneyost@gmail.com</t>
  </si>
  <si>
    <t xml:space="preserve">Gabriela </t>
  </si>
  <si>
    <t>Dominguez</t>
  </si>
  <si>
    <t>Espina</t>
  </si>
  <si>
    <t>+56956507023</t>
  </si>
  <si>
    <t>Catolica</t>
  </si>
  <si>
    <t>Mariadomesp@gmail.com</t>
  </si>
  <si>
    <t xml:space="preserve">Juan Bautista </t>
  </si>
  <si>
    <t>Duarte</t>
  </si>
  <si>
    <t>Veliz</t>
  </si>
  <si>
    <t xml:space="preserve">7467139-k </t>
  </si>
  <si>
    <t>Juandv25@hotmail.com</t>
  </si>
  <si>
    <t xml:space="preserve">Aaron </t>
  </si>
  <si>
    <t>Elgueta</t>
  </si>
  <si>
    <t>Solar</t>
  </si>
  <si>
    <t>20561814-7</t>
  </si>
  <si>
    <t>+56987490807</t>
  </si>
  <si>
    <t>aaronelguetasolar@gmail.com</t>
  </si>
  <si>
    <t>Rodrigo</t>
  </si>
  <si>
    <t>Garcia</t>
  </si>
  <si>
    <t>13928262-0</t>
  </si>
  <si>
    <t>relgueta1980@gmail.com</t>
  </si>
  <si>
    <t>Victor Diego</t>
  </si>
  <si>
    <t>Elicer</t>
  </si>
  <si>
    <t>Cortés</t>
  </si>
  <si>
    <t>19310046-5</t>
  </si>
  <si>
    <t>+56954206698</t>
  </si>
  <si>
    <t>Generación Diferente</t>
  </si>
  <si>
    <t>velicercortes@gmail.com</t>
  </si>
  <si>
    <t>Escobar</t>
  </si>
  <si>
    <t>Lazo</t>
  </si>
  <si>
    <t>16095698-4</t>
  </si>
  <si>
    <t>+56981361669</t>
  </si>
  <si>
    <t>nuevadaniela@gmail.com</t>
  </si>
  <si>
    <t xml:space="preserve">Daniel </t>
  </si>
  <si>
    <t>Escudero</t>
  </si>
  <si>
    <t>Navarrete</t>
  </si>
  <si>
    <t>Daniel.escudero.navarrete@gmail.com</t>
  </si>
  <si>
    <t xml:space="preserve">vicente </t>
  </si>
  <si>
    <t>espina</t>
  </si>
  <si>
    <t>rojas</t>
  </si>
  <si>
    <t>22288649k</t>
  </si>
  <si>
    <t>fuentesvicente329@gmail.com</t>
  </si>
  <si>
    <t>Luminares</t>
  </si>
  <si>
    <t xml:space="preserve">Cristian </t>
  </si>
  <si>
    <t>Espinosa</t>
  </si>
  <si>
    <t>21201916k</t>
  </si>
  <si>
    <t>+56991358643</t>
  </si>
  <si>
    <t>Cristian.espinosa1@mail.udp.cl</t>
  </si>
  <si>
    <t xml:space="preserve">Mariana </t>
  </si>
  <si>
    <t>Espinoza</t>
  </si>
  <si>
    <t>23651804-3</t>
  </si>
  <si>
    <t>marianaespar2011@gmail.com</t>
  </si>
  <si>
    <t>Mauricio</t>
  </si>
  <si>
    <t>14118084-3</t>
  </si>
  <si>
    <t>mauricioespinoza3281@gmail.com</t>
  </si>
  <si>
    <t xml:space="preserve">Judith </t>
  </si>
  <si>
    <t xml:space="preserve">Espinoza </t>
  </si>
  <si>
    <t>Acevedo</t>
  </si>
  <si>
    <t xml:space="preserve">10282071-1 </t>
  </si>
  <si>
    <t>+569 957824907</t>
  </si>
  <si>
    <t>juespace@yahoo.com</t>
  </si>
  <si>
    <t xml:space="preserve">Alejandro </t>
  </si>
  <si>
    <t xml:space="preserve">Farfán </t>
  </si>
  <si>
    <t>Moya</t>
  </si>
  <si>
    <t>+569 93565555</t>
  </si>
  <si>
    <t>ale.farfan1@gmail.com</t>
  </si>
  <si>
    <t>genoveva Navales</t>
  </si>
  <si>
    <t>Fernandez</t>
  </si>
  <si>
    <t>Gamboa</t>
  </si>
  <si>
    <t>sebastian.f.g85@gmail.com</t>
  </si>
  <si>
    <t xml:space="preserve">José </t>
  </si>
  <si>
    <t>Troncoso</t>
  </si>
  <si>
    <t>+569 93359181</t>
  </si>
  <si>
    <t>joseferradapastor@gmail.com</t>
  </si>
  <si>
    <t>JOsé Ferrada</t>
  </si>
  <si>
    <t xml:space="preserve">Juan Pablo </t>
  </si>
  <si>
    <t>10673050-4</t>
  </si>
  <si>
    <t>*56984297910</t>
  </si>
  <si>
    <t>V12producciones.Jpfa@Gmail.com</t>
  </si>
  <si>
    <t>Liz</t>
  </si>
  <si>
    <t>Arco</t>
  </si>
  <si>
    <t>15929428-5</t>
  </si>
  <si>
    <t>+56999099980</t>
  </si>
  <si>
    <t>Scolariferrada@gmail.com</t>
  </si>
  <si>
    <t xml:space="preserve">Paola </t>
  </si>
  <si>
    <t xml:space="preserve">Arcos </t>
  </si>
  <si>
    <t>+569 96896595</t>
  </si>
  <si>
    <t>ferrada.arcos@gmail.com</t>
  </si>
  <si>
    <t xml:space="preserve">Renato </t>
  </si>
  <si>
    <t>González</t>
  </si>
  <si>
    <t>renatoferradag.wushu@gmail.com</t>
  </si>
  <si>
    <t xml:space="preserve">Benjamín </t>
  </si>
  <si>
    <t xml:space="preserve">Valdés </t>
  </si>
  <si>
    <t>+56990613806</t>
  </si>
  <si>
    <t>benjaminfloresvaldes@gmail.com</t>
  </si>
  <si>
    <t>Marjorie</t>
  </si>
  <si>
    <t>Peña</t>
  </si>
  <si>
    <t>+56944431174</t>
  </si>
  <si>
    <t>Marjorieflowers@live.com</t>
  </si>
  <si>
    <t xml:space="preserve">Raimundo </t>
  </si>
  <si>
    <t xml:space="preserve">Flores </t>
  </si>
  <si>
    <t>Bazaes</t>
  </si>
  <si>
    <t>+56979092027</t>
  </si>
  <si>
    <t>raimundo.flores@live.cl</t>
  </si>
  <si>
    <t>Sandra</t>
  </si>
  <si>
    <t>Fredes</t>
  </si>
  <si>
    <t xml:space="preserve">Contreras </t>
  </si>
  <si>
    <t>11294062-6</t>
  </si>
  <si>
    <t>+56 9 9075 0303</t>
  </si>
  <si>
    <t>sandrafredes1968@gmail.com</t>
  </si>
  <si>
    <t>Ernesto</t>
  </si>
  <si>
    <t>Guzman</t>
  </si>
  <si>
    <t>+56965404742</t>
  </si>
  <si>
    <t>ernestoa.fuentes@gmail.com</t>
  </si>
  <si>
    <t>13884345-9</t>
  </si>
  <si>
    <t>+56958212247</t>
  </si>
  <si>
    <t>sergio.fuentesguzman@gmail.com</t>
  </si>
  <si>
    <t xml:space="preserve">Benjamin </t>
  </si>
  <si>
    <t xml:space="preserve">Fuentes </t>
  </si>
  <si>
    <t xml:space="preserve">Vásquez </t>
  </si>
  <si>
    <t>21925118-1</t>
  </si>
  <si>
    <t>+56 9 2846 2673</t>
  </si>
  <si>
    <t>benjaminisrael.fv@gmail.com</t>
  </si>
  <si>
    <t xml:space="preserve">Madeline </t>
  </si>
  <si>
    <t xml:space="preserve">Vasquez </t>
  </si>
  <si>
    <t>21.094.574-1</t>
  </si>
  <si>
    <t>Madeline.cfv@gmail.com</t>
  </si>
  <si>
    <t xml:space="preserve">Rodrigo </t>
  </si>
  <si>
    <t>Galaz</t>
  </si>
  <si>
    <t>Jerez</t>
  </si>
  <si>
    <t>16265806-9</t>
  </si>
  <si>
    <t>+560966493941</t>
  </si>
  <si>
    <t>rodrigo.galazj@gmail.com</t>
  </si>
  <si>
    <t>Carolina</t>
  </si>
  <si>
    <t>Gallardo</t>
  </si>
  <si>
    <t>Gómez</t>
  </si>
  <si>
    <t>+56 9 74015098</t>
  </si>
  <si>
    <t>GALLARDOCAROLINA.AG@GMAIL.COM</t>
  </si>
  <si>
    <t>Galvez</t>
  </si>
  <si>
    <t>sagaflo1966@gmail.com</t>
  </si>
  <si>
    <t xml:space="preserve">Veronica </t>
  </si>
  <si>
    <t xml:space="preserve">Gomez </t>
  </si>
  <si>
    <t xml:space="preserve">Avendaño </t>
  </si>
  <si>
    <t>stefanianeira@gmail.com</t>
  </si>
  <si>
    <t>Aline</t>
  </si>
  <si>
    <t xml:space="preserve">Gómez </t>
  </si>
  <si>
    <t>Jaña</t>
  </si>
  <si>
    <t xml:space="preserve">21.460.143-5 </t>
  </si>
  <si>
    <t xml:space="preserve">aline.gomezj20@gmail.com </t>
  </si>
  <si>
    <t xml:space="preserve">Javiera </t>
  </si>
  <si>
    <t>22.912.132-4</t>
  </si>
  <si>
    <t>+56937179512</t>
  </si>
  <si>
    <t>javivisgj@gmail.com</t>
  </si>
  <si>
    <t>Maria Isabel</t>
  </si>
  <si>
    <t>Neira</t>
  </si>
  <si>
    <t>8878455-3</t>
  </si>
  <si>
    <t>+56950060200</t>
  </si>
  <si>
    <t>Vasquez.betancur@gmail.com</t>
  </si>
  <si>
    <t>Montes de oca</t>
  </si>
  <si>
    <t>13.476.970-k</t>
  </si>
  <si>
    <t>+56982930224</t>
  </si>
  <si>
    <t>apsmontesdeoca@yahoo.es</t>
  </si>
  <si>
    <t>Luisa</t>
  </si>
  <si>
    <t>Carrasco</t>
  </si>
  <si>
    <t>+569 72369679</t>
  </si>
  <si>
    <t>luisagonzalezcarrasco123@gmail.com</t>
  </si>
  <si>
    <t>Soza</t>
  </si>
  <si>
    <t>+56968573255</t>
  </si>
  <si>
    <t>cegsoza@gmail.com</t>
  </si>
  <si>
    <t xml:space="preserve">Miriam </t>
  </si>
  <si>
    <t xml:space="preserve">Gonzalez </t>
  </si>
  <si>
    <t>10716676-9</t>
  </si>
  <si>
    <t>+569 48614418</t>
  </si>
  <si>
    <t>sernageomin1@gmail.com</t>
  </si>
  <si>
    <t xml:space="preserve">Sujey </t>
  </si>
  <si>
    <t>13265664-9</t>
  </si>
  <si>
    <t>mariasujey.gonzalez@gmail.com</t>
  </si>
  <si>
    <t>Gabriel</t>
  </si>
  <si>
    <t xml:space="preserve">González </t>
  </si>
  <si>
    <t>21.645.058-2</t>
  </si>
  <si>
    <t>+569 76346340</t>
  </si>
  <si>
    <t>gegsoza@gmail.com</t>
  </si>
  <si>
    <t xml:space="preserve">Martín </t>
  </si>
  <si>
    <t>Vargas</t>
  </si>
  <si>
    <t>20667542-K</t>
  </si>
  <si>
    <t>m4rt1n22gv@gmail.com</t>
  </si>
  <si>
    <t xml:space="preserve">Monserrat </t>
  </si>
  <si>
    <t xml:space="preserve">Chavarria </t>
  </si>
  <si>
    <t>21146156-k</t>
  </si>
  <si>
    <t>+56966304838</t>
  </si>
  <si>
    <t>monserrat.chavarria47@gmail.com</t>
  </si>
  <si>
    <t xml:space="preserve">ailen </t>
  </si>
  <si>
    <t xml:space="preserve">guanca </t>
  </si>
  <si>
    <t>mora</t>
  </si>
  <si>
    <t>guancaailen@gmail.com</t>
  </si>
  <si>
    <t>Belén</t>
  </si>
  <si>
    <t>Guerra</t>
  </si>
  <si>
    <t>18635868-6</t>
  </si>
  <si>
    <t>+56995834004</t>
  </si>
  <si>
    <t>belen.guerra@helepsicologia.cl</t>
  </si>
  <si>
    <t>Jose</t>
  </si>
  <si>
    <t>Riveros</t>
  </si>
  <si>
    <t>8.767.782-6</t>
  </si>
  <si>
    <t>guerrariverosjose@gmail.com</t>
  </si>
  <si>
    <t>Tamara</t>
  </si>
  <si>
    <t>19252400-8</t>
  </si>
  <si>
    <t>+56984285923</t>
  </si>
  <si>
    <t>Tamyguerra7@gmail.com</t>
  </si>
  <si>
    <t>Gutierrez</t>
  </si>
  <si>
    <t>18.293.455-0</t>
  </si>
  <si>
    <t>+56973766076</t>
  </si>
  <si>
    <t>bastian.gutierrez1@gmail.com</t>
  </si>
  <si>
    <t>Jessica</t>
  </si>
  <si>
    <t>Gutiérrez</t>
  </si>
  <si>
    <t xml:space="preserve">Irarrazaval </t>
  </si>
  <si>
    <t>10139047-0</t>
  </si>
  <si>
    <t>+569 83215977</t>
  </si>
  <si>
    <t>jekaguti@gmail.com</t>
  </si>
  <si>
    <t xml:space="preserve">Gabriel </t>
  </si>
  <si>
    <t>8092893-9</t>
  </si>
  <si>
    <t>+56999178891</t>
  </si>
  <si>
    <t>gutierrezcaro60.gabriel@gmail.com</t>
  </si>
  <si>
    <t xml:space="preserve">Mauricio </t>
  </si>
  <si>
    <t xml:space="preserve">Garay </t>
  </si>
  <si>
    <t>maury10vm@gmail.com</t>
  </si>
  <si>
    <t xml:space="preserve">María José </t>
  </si>
  <si>
    <t>Parada</t>
  </si>
  <si>
    <t>+56932086047</t>
  </si>
  <si>
    <t>mjgparada@gmail.com</t>
  </si>
  <si>
    <t>ya inscrita</t>
  </si>
  <si>
    <t>Javiera</t>
  </si>
  <si>
    <t>Henriquez</t>
  </si>
  <si>
    <t>Burgos</t>
  </si>
  <si>
    <t>javierahenriquez41@gmail.com</t>
  </si>
  <si>
    <t xml:space="preserve">Marco </t>
  </si>
  <si>
    <t>Herrera</t>
  </si>
  <si>
    <t>Urrutia</t>
  </si>
  <si>
    <t>11.264.179-3</t>
  </si>
  <si>
    <t>+56975789028</t>
  </si>
  <si>
    <t>mherrera@lascondes.cl</t>
  </si>
  <si>
    <t xml:space="preserve">Samuel </t>
  </si>
  <si>
    <t>Huerta</t>
  </si>
  <si>
    <t>19227359-5</t>
  </si>
  <si>
    <t>Herrera.Esteban.H@gmail.com</t>
  </si>
  <si>
    <t>Iglesia Luminares</t>
  </si>
  <si>
    <t>OK pago</t>
  </si>
  <si>
    <t xml:space="preserve">FÉLIX </t>
  </si>
  <si>
    <t xml:space="preserve">HIDALGO </t>
  </si>
  <si>
    <t>MONTALBA</t>
  </si>
  <si>
    <t>+56957621554</t>
  </si>
  <si>
    <t>felix.hidalgo14@gmail.com</t>
  </si>
  <si>
    <t xml:space="preserve">Karla </t>
  </si>
  <si>
    <t xml:space="preserve">López </t>
  </si>
  <si>
    <t xml:space="preserve">Belén Guerra </t>
  </si>
  <si>
    <t>Karlaghidalgo@gmail.com</t>
  </si>
  <si>
    <t xml:space="preserve">Isabel </t>
  </si>
  <si>
    <t>Hinojosa</t>
  </si>
  <si>
    <t xml:space="preserve">Montenegro </t>
  </si>
  <si>
    <t>8134886-3</t>
  </si>
  <si>
    <t>569 30271611</t>
  </si>
  <si>
    <t>Chary1102sh@gmail.com</t>
  </si>
  <si>
    <t xml:space="preserve">Cheresty </t>
  </si>
  <si>
    <t xml:space="preserve">Hormazabal </t>
  </si>
  <si>
    <t xml:space="preserve">13.684.283-8 </t>
  </si>
  <si>
    <t>Chhormazabal@hotmail.com</t>
  </si>
  <si>
    <t>Gonzalo</t>
  </si>
  <si>
    <t xml:space="preserve">Huerta </t>
  </si>
  <si>
    <t>Nuñez</t>
  </si>
  <si>
    <t>gonzaloricardohuerta2188@gmail.com</t>
  </si>
  <si>
    <t>Fernanda</t>
  </si>
  <si>
    <t>Huidobro</t>
  </si>
  <si>
    <t>20.955.970-6</t>
  </si>
  <si>
    <t>+56942944859</t>
  </si>
  <si>
    <t>fernandahuidobrog@gmail.com</t>
  </si>
  <si>
    <t xml:space="preserve">Catalina </t>
  </si>
  <si>
    <t>Jara</t>
  </si>
  <si>
    <t>21.577.115-6</t>
  </si>
  <si>
    <t>+56946784360</t>
  </si>
  <si>
    <t>catalinabril.cj@gmail.com</t>
  </si>
  <si>
    <t>CHRISTIAN</t>
  </si>
  <si>
    <t xml:space="preserve">Anríquez </t>
  </si>
  <si>
    <t>14.450.153-5</t>
  </si>
  <si>
    <t>+56998405588</t>
  </si>
  <si>
    <t>cjaraanriquez@gmail.com</t>
  </si>
  <si>
    <t xml:space="preserve">Ema </t>
  </si>
  <si>
    <t>23.157.823-4</t>
  </si>
  <si>
    <t>+56930015605</t>
  </si>
  <si>
    <t>emabpbk@gmail.com</t>
  </si>
  <si>
    <t>Felipe</t>
  </si>
  <si>
    <t>Oyarce</t>
  </si>
  <si>
    <t>+56957349900</t>
  </si>
  <si>
    <t>felipeignaciojaraoyarce@gmail.com</t>
  </si>
  <si>
    <t xml:space="preserve">Gladys </t>
  </si>
  <si>
    <t xml:space="preserve">Jara </t>
  </si>
  <si>
    <t xml:space="preserve">Nome </t>
  </si>
  <si>
    <t>5484333k</t>
  </si>
  <si>
    <t>yasminmesias@hotmail.com</t>
  </si>
  <si>
    <t xml:space="preserve">Johanna </t>
  </si>
  <si>
    <t>Anriquez</t>
  </si>
  <si>
    <t>Johanna.jara@gmail.com</t>
  </si>
  <si>
    <t xml:space="preserve">Sebastián </t>
  </si>
  <si>
    <t xml:space="preserve">Quezada </t>
  </si>
  <si>
    <t>+56 9 6635 6635</t>
  </si>
  <si>
    <t xml:space="preserve">Persona invitada por alguien de catedral. </t>
  </si>
  <si>
    <t>sebajara58@gmail.com</t>
  </si>
  <si>
    <t>Sofia</t>
  </si>
  <si>
    <t>23884816-4</t>
  </si>
  <si>
    <t>Sjarahormazabal2012@gmail.com</t>
  </si>
  <si>
    <t>Ricardo</t>
  </si>
  <si>
    <t>Jopia</t>
  </si>
  <si>
    <t xml:space="preserve">Gutierrez </t>
  </si>
  <si>
    <t>17775168-5</t>
  </si>
  <si>
    <t>+56963528595</t>
  </si>
  <si>
    <t>ricardojopia.21@gmail.com</t>
  </si>
  <si>
    <t xml:space="preserve">Camila </t>
  </si>
  <si>
    <t xml:space="preserve">Julio </t>
  </si>
  <si>
    <t xml:space="preserve">Encina </t>
  </si>
  <si>
    <t xml:space="preserve">+569 61848326 </t>
  </si>
  <si>
    <t xml:space="preserve">Camilajulioencina@gmail.com </t>
  </si>
  <si>
    <t>Esteban</t>
  </si>
  <si>
    <t>Labra</t>
  </si>
  <si>
    <t>Urra</t>
  </si>
  <si>
    <t>20119617-5</t>
  </si>
  <si>
    <t>+56976897164</t>
  </si>
  <si>
    <t>eslabra@alumnos.uai.cl</t>
  </si>
  <si>
    <t>Karla</t>
  </si>
  <si>
    <t>19290000-k</t>
  </si>
  <si>
    <t>kalabra@uc.cl</t>
  </si>
  <si>
    <t>Angelita</t>
  </si>
  <si>
    <t>Lagos</t>
  </si>
  <si>
    <t>Suzarte</t>
  </si>
  <si>
    <t>11852713-5</t>
  </si>
  <si>
    <t>+569 42885145</t>
  </si>
  <si>
    <t>angelita.lagos@gmail.com</t>
  </si>
  <si>
    <t>Marlen</t>
  </si>
  <si>
    <t>126477414-4</t>
  </si>
  <si>
    <t>+56956244244</t>
  </si>
  <si>
    <t>marlencita12@gmail.com</t>
  </si>
  <si>
    <t xml:space="preserve">Jeannette </t>
  </si>
  <si>
    <t>Cuevas</t>
  </si>
  <si>
    <t>10307611-0</t>
  </si>
  <si>
    <t>+56995072208</t>
  </si>
  <si>
    <t>Janet.lagos@hotmail.cl</t>
  </si>
  <si>
    <t xml:space="preserve">Maria </t>
  </si>
  <si>
    <t xml:space="preserve">Lagos </t>
  </si>
  <si>
    <t xml:space="preserve">Roa </t>
  </si>
  <si>
    <t>4558833-5</t>
  </si>
  <si>
    <t>Marialagos@gmail.com</t>
  </si>
  <si>
    <t>Elizabeth</t>
  </si>
  <si>
    <t>Lara</t>
  </si>
  <si>
    <t>Manriquez</t>
  </si>
  <si>
    <t>13481382-2</t>
  </si>
  <si>
    <t xml:space="preserve">Visita vecina </t>
  </si>
  <si>
    <t>Elymlaram@gmail.com</t>
  </si>
  <si>
    <t xml:space="preserve">15586763-9 </t>
  </si>
  <si>
    <t>+56981896781</t>
  </si>
  <si>
    <t>Florcita77724@gmail.com</t>
  </si>
  <si>
    <t xml:space="preserve">Patricia </t>
  </si>
  <si>
    <t>Leiva</t>
  </si>
  <si>
    <t>Vallejos</t>
  </si>
  <si>
    <t>11054450-2</t>
  </si>
  <si>
    <t>+569940768965</t>
  </si>
  <si>
    <t>paty.2017leiva@gmail.com</t>
  </si>
  <si>
    <t xml:space="preserve">Zonnis </t>
  </si>
  <si>
    <t xml:space="preserve">León </t>
  </si>
  <si>
    <t xml:space="preserve">Vespa </t>
  </si>
  <si>
    <t xml:space="preserve">Belén guerra </t>
  </si>
  <si>
    <t>ALEXIS</t>
  </si>
  <si>
    <t>LLANO</t>
  </si>
  <si>
    <t>ROJAS</t>
  </si>
  <si>
    <t>ALEXIS.LLANO@HOTMAIL.COM</t>
  </si>
  <si>
    <t xml:space="preserve">Javiera Valentina </t>
  </si>
  <si>
    <t xml:space="preserve">Lobos </t>
  </si>
  <si>
    <t>+56976679394</t>
  </si>
  <si>
    <t>Agataspiegelman@gmail.com</t>
  </si>
  <si>
    <t xml:space="preserve">Ahumada </t>
  </si>
  <si>
    <t>16603941-k</t>
  </si>
  <si>
    <t>+56965942848</t>
  </si>
  <si>
    <t>barby141626@gmail.com</t>
  </si>
  <si>
    <t xml:space="preserve">Benjamin Manuel </t>
  </si>
  <si>
    <t>Aburto</t>
  </si>
  <si>
    <t>21.190.720-7</t>
  </si>
  <si>
    <t>+569 6275 9976</t>
  </si>
  <si>
    <t>benjamin.lopezaburto@gmail.com</t>
  </si>
  <si>
    <t xml:space="preserve">Marianela </t>
  </si>
  <si>
    <t>Torres</t>
  </si>
  <si>
    <t>13296341-k</t>
  </si>
  <si>
    <t>±569 82063263</t>
  </si>
  <si>
    <t>Manela11nany@gmail.com</t>
  </si>
  <si>
    <t xml:space="preserve">Miguel </t>
  </si>
  <si>
    <t>+56966561451</t>
  </si>
  <si>
    <t>miguel.l@hotmail.cl</t>
  </si>
  <si>
    <t>Angie</t>
  </si>
  <si>
    <t>Luna</t>
  </si>
  <si>
    <t>Ropero</t>
  </si>
  <si>
    <t>+56962787865</t>
  </si>
  <si>
    <t>Angieluna649@gmail.com</t>
  </si>
  <si>
    <t>Mayra</t>
  </si>
  <si>
    <t>Cifuentes</t>
  </si>
  <si>
    <t>Valr081074@gmail.com</t>
  </si>
  <si>
    <t>Vladimir</t>
  </si>
  <si>
    <t>Rocha</t>
  </si>
  <si>
    <t xml:space="preserve">Alexis </t>
  </si>
  <si>
    <t xml:space="preserve">Macías </t>
  </si>
  <si>
    <t xml:space="preserve">Calvio </t>
  </si>
  <si>
    <t>ae.macias.66@gmail.com</t>
  </si>
  <si>
    <t xml:space="preserve">Jacob </t>
  </si>
  <si>
    <t xml:space="preserve">Madrid </t>
  </si>
  <si>
    <t>Zambrano</t>
  </si>
  <si>
    <t>18139966k</t>
  </si>
  <si>
    <t>+569 96177592</t>
  </si>
  <si>
    <t>Jacobmadrid.ing@gmail.com</t>
  </si>
  <si>
    <t>Cesar</t>
  </si>
  <si>
    <t>Maerten</t>
  </si>
  <si>
    <t>Valdivia</t>
  </si>
  <si>
    <t>maerten01@gmail.com</t>
  </si>
  <si>
    <t>Paz</t>
  </si>
  <si>
    <t xml:space="preserve">23809483-6 </t>
  </si>
  <si>
    <t>pachi122011@gmail.com</t>
  </si>
  <si>
    <t>Constanza</t>
  </si>
  <si>
    <t>Navarro</t>
  </si>
  <si>
    <t>12654520-7</t>
  </si>
  <si>
    <t>Conymarcoletan@gmail.com</t>
  </si>
  <si>
    <t>Mariangel</t>
  </si>
  <si>
    <t>+56949144049</t>
  </si>
  <si>
    <t>Catalina.209437@gmail.com</t>
  </si>
  <si>
    <t>Elizabeth lissette</t>
  </si>
  <si>
    <t xml:space="preserve">Mariangel  </t>
  </si>
  <si>
    <t xml:space="preserve">  martinez</t>
  </si>
  <si>
    <t>emariangel.martinez@gmail.com</t>
  </si>
  <si>
    <t>ANDRES</t>
  </si>
  <si>
    <t>MARIN</t>
  </si>
  <si>
    <t>URZUA</t>
  </si>
  <si>
    <t>andresalonsomu@gmail.com</t>
  </si>
  <si>
    <t xml:space="preserve">RAFAEL </t>
  </si>
  <si>
    <t>CARRASCO</t>
  </si>
  <si>
    <t>+56993320538</t>
  </si>
  <si>
    <t>rmarin38@gmail.com</t>
  </si>
  <si>
    <t>Erika Alejandra</t>
  </si>
  <si>
    <t>Marín</t>
  </si>
  <si>
    <t>Rivera</t>
  </si>
  <si>
    <t>13476794-4</t>
  </si>
  <si>
    <t>Lucas</t>
  </si>
  <si>
    <t>23.048.925-4</t>
  </si>
  <si>
    <t>+56 9 7741 2955</t>
  </si>
  <si>
    <t>lucasmarinlgos@gmail.com</t>
  </si>
  <si>
    <t xml:space="preserve">Marín </t>
  </si>
  <si>
    <t>20826475-3</t>
  </si>
  <si>
    <t>+56984464853</t>
  </si>
  <si>
    <t>constanzabmarin@gmail.com</t>
  </si>
  <si>
    <t xml:space="preserve">Paulina </t>
  </si>
  <si>
    <t xml:space="preserve">Marqués </t>
  </si>
  <si>
    <t>Molina</t>
  </si>
  <si>
    <t xml:space="preserve">16013856-4 </t>
  </si>
  <si>
    <t>+56995094631</t>
  </si>
  <si>
    <t>Paulina.marques@hotmail.com</t>
  </si>
  <si>
    <t xml:space="preserve">Marisol </t>
  </si>
  <si>
    <t>Martínez</t>
  </si>
  <si>
    <t>Berríos</t>
  </si>
  <si>
    <t>marisolmartinez8993@gmail.com</t>
  </si>
  <si>
    <t>Karol paola</t>
  </si>
  <si>
    <t xml:space="preserve">Martinez </t>
  </si>
  <si>
    <t>Argeñal</t>
  </si>
  <si>
    <t>23730945-6</t>
  </si>
  <si>
    <t>karolmartinez10@yahoo.com</t>
  </si>
  <si>
    <t xml:space="preserve">Diana </t>
  </si>
  <si>
    <t xml:space="preserve">Mayorga </t>
  </si>
  <si>
    <t>200131678-8</t>
  </si>
  <si>
    <t>+56929273906</t>
  </si>
  <si>
    <t>dianamayorgafx@gmail.com</t>
  </si>
  <si>
    <t>Matia Cristina</t>
  </si>
  <si>
    <t>Papamija</t>
  </si>
  <si>
    <t>27373935-1</t>
  </si>
  <si>
    <t>+569 47377046</t>
  </si>
  <si>
    <t>crismed1907@gmail.com</t>
  </si>
  <si>
    <t>Judith</t>
  </si>
  <si>
    <t>Mella</t>
  </si>
  <si>
    <t>16787142-9</t>
  </si>
  <si>
    <t>+56962308727</t>
  </si>
  <si>
    <t>Jm-fredes@hotmail.com</t>
  </si>
  <si>
    <t xml:space="preserve">Jacqueline </t>
  </si>
  <si>
    <t>Mesa</t>
  </si>
  <si>
    <t xml:space="preserve">Díaz </t>
  </si>
  <si>
    <t>12885702-8</t>
  </si>
  <si>
    <t>+569 79315235</t>
  </si>
  <si>
    <t>jmesa205@gmail.com</t>
  </si>
  <si>
    <t>12.892.266-0</t>
  </si>
  <si>
    <t>Yasmin</t>
  </si>
  <si>
    <t>Mesias</t>
  </si>
  <si>
    <t>+56973068438</t>
  </si>
  <si>
    <t xml:space="preserve">Catalina Ana </t>
  </si>
  <si>
    <t xml:space="preserve">Mihelic </t>
  </si>
  <si>
    <t xml:space="preserve">Rosas </t>
  </si>
  <si>
    <t>17004718-4</t>
  </si>
  <si>
    <t>catalinamihelic@gmail.com</t>
  </si>
  <si>
    <t xml:space="preserve">Jorge </t>
  </si>
  <si>
    <t>Miño</t>
  </si>
  <si>
    <t>Carcamo</t>
  </si>
  <si>
    <t>Jorgemino51@gmail.com</t>
  </si>
  <si>
    <t xml:space="preserve">Luis </t>
  </si>
  <si>
    <t>Led.minoc@gmail.com</t>
  </si>
  <si>
    <t xml:space="preserve">Angiella </t>
  </si>
  <si>
    <t xml:space="preserve">Miranda </t>
  </si>
  <si>
    <t xml:space="preserve">Echanez </t>
  </si>
  <si>
    <t>17024179-7</t>
  </si>
  <si>
    <t>anthonellaambar2014@gmail.com</t>
  </si>
  <si>
    <t>Victor</t>
  </si>
  <si>
    <t xml:space="preserve">Montecinos </t>
  </si>
  <si>
    <t>+56937167170</t>
  </si>
  <si>
    <t>bustamantevic94@gmail.com</t>
  </si>
  <si>
    <t>Angela</t>
  </si>
  <si>
    <t>Montes de Oca</t>
  </si>
  <si>
    <t xml:space="preserve">Ponce </t>
  </si>
  <si>
    <t>8680884-&amp;</t>
  </si>
  <si>
    <t>+56996949000</t>
  </si>
  <si>
    <t>Angela.montesdeoxa86@gmail.com</t>
  </si>
  <si>
    <t xml:space="preserve">Robinson </t>
  </si>
  <si>
    <t xml:space="preserve">Vallejos </t>
  </si>
  <si>
    <t>19.569.591-1</t>
  </si>
  <si>
    <t>+56975947466</t>
  </si>
  <si>
    <t>robinsonmoravallejos@gmail.com</t>
  </si>
  <si>
    <t xml:space="preserve">Genesis </t>
  </si>
  <si>
    <t>Morales</t>
  </si>
  <si>
    <t>Rupallan</t>
  </si>
  <si>
    <t>+56 9 3448 2079</t>
  </si>
  <si>
    <t>Genesismorales.r@gmail.com</t>
  </si>
  <si>
    <t>Ljubitza</t>
  </si>
  <si>
    <t xml:space="preserve">Morales </t>
  </si>
  <si>
    <t>13464300-5</t>
  </si>
  <si>
    <t>+569 68550633</t>
  </si>
  <si>
    <t>Ljubitzamm@hotmail.cl</t>
  </si>
  <si>
    <t>moya</t>
  </si>
  <si>
    <t>carreño</t>
  </si>
  <si>
    <t>5.818.622-8</t>
  </si>
  <si>
    <t>(+56996679870)</t>
  </si>
  <si>
    <t>Catedral de la alabanza Coquimbo</t>
  </si>
  <si>
    <t>pastor.luismoya@gmail.com</t>
  </si>
  <si>
    <t>Catedral Coquimbo</t>
  </si>
  <si>
    <t>Monica</t>
  </si>
  <si>
    <t>9249198-6</t>
  </si>
  <si>
    <t>±56968780927</t>
  </si>
  <si>
    <t>moyamonica506@gmail.com</t>
  </si>
  <si>
    <t>Tirsa</t>
  </si>
  <si>
    <t>12485878k</t>
  </si>
  <si>
    <t xml:space="preserve">Salvador </t>
  </si>
  <si>
    <t xml:space="preserve">Moya </t>
  </si>
  <si>
    <t>11565374-1</t>
  </si>
  <si>
    <t xml:space="preserve">Salvadormoya@gmail.com </t>
  </si>
  <si>
    <t>Alejandro</t>
  </si>
  <si>
    <t>Munita</t>
  </si>
  <si>
    <t>13684282-K</t>
  </si>
  <si>
    <t>+56991593576</t>
  </si>
  <si>
    <t>alejandro.munita@gmail.com</t>
  </si>
  <si>
    <t>Amanda</t>
  </si>
  <si>
    <t>23667953-5</t>
  </si>
  <si>
    <t>Eloisa</t>
  </si>
  <si>
    <t>2330724-6</t>
  </si>
  <si>
    <t>Nahuelán</t>
  </si>
  <si>
    <t>+56953123427</t>
  </si>
  <si>
    <t>felipe.nahm@gmail.com</t>
  </si>
  <si>
    <t>ok Pago</t>
  </si>
  <si>
    <t xml:space="preserve">Genoveva </t>
  </si>
  <si>
    <t>Navales</t>
  </si>
  <si>
    <t>7449897-3</t>
  </si>
  <si>
    <t>+56992906989</t>
  </si>
  <si>
    <t>Genoveva.navales@gmail.com</t>
  </si>
  <si>
    <t>Antonia</t>
  </si>
  <si>
    <t>aantonnr@gmail.com</t>
  </si>
  <si>
    <t>Benjamin</t>
  </si>
  <si>
    <t xml:space="preserve">Riveros </t>
  </si>
  <si>
    <t>22910611-2</t>
  </si>
  <si>
    <t>benjamon0999@gmail.com</t>
  </si>
  <si>
    <t>12896712-5</t>
  </si>
  <si>
    <t>+56977797405</t>
  </si>
  <si>
    <t>Enavarrete@navarreteconsultores.cl</t>
  </si>
  <si>
    <t>Painevilo</t>
  </si>
  <si>
    <t>20984768-K</t>
  </si>
  <si>
    <t>rodrigon835@gmail.com</t>
  </si>
  <si>
    <t xml:space="preserve">Adriana </t>
  </si>
  <si>
    <t>Riquelme</t>
  </si>
  <si>
    <t>9136331-3</t>
  </si>
  <si>
    <t>nanymnr@gmail.com</t>
  </si>
  <si>
    <t>Stefania</t>
  </si>
  <si>
    <t>18250084-4</t>
  </si>
  <si>
    <t>Stefanianeira@gmail.com</t>
  </si>
  <si>
    <t>SN</t>
  </si>
  <si>
    <t xml:space="preserve">Nuñez </t>
  </si>
  <si>
    <t>12279512-8</t>
  </si>
  <si>
    <t xml:space="preserve">Robertonunez748@gmail.com </t>
  </si>
  <si>
    <t>ARTURO PEDRO</t>
  </si>
  <si>
    <t>OLIVARES</t>
  </si>
  <si>
    <t>BENUCCI</t>
  </si>
  <si>
    <t>10521605-K</t>
  </si>
  <si>
    <t>+569 27112204</t>
  </si>
  <si>
    <t>ceciliabncc@gmail.com</t>
  </si>
  <si>
    <t>LORETO PAZ</t>
  </si>
  <si>
    <t>21814933-2</t>
  </si>
  <si>
    <t>569 87282607</t>
  </si>
  <si>
    <t>Olivos</t>
  </si>
  <si>
    <t>Muñoz</t>
  </si>
  <si>
    <t>+569 72122354</t>
  </si>
  <si>
    <t>solimu1410@gmail.com</t>
  </si>
  <si>
    <t>Jhony</t>
  </si>
  <si>
    <t>Órdenes</t>
  </si>
  <si>
    <t xml:space="preserve">Sánchez </t>
  </si>
  <si>
    <t>j.ordenes@me.com</t>
  </si>
  <si>
    <t xml:space="preserve">Margarita </t>
  </si>
  <si>
    <t xml:space="preserve">Orostegui </t>
  </si>
  <si>
    <t xml:space="preserve">Escobar </t>
  </si>
  <si>
    <t>6/10/0055</t>
  </si>
  <si>
    <t>margaritaoe_10@yahoo.com</t>
  </si>
  <si>
    <t xml:space="preserve">Lidia </t>
  </si>
  <si>
    <t>Orozco</t>
  </si>
  <si>
    <t>Reyes</t>
  </si>
  <si>
    <t>13897934-2</t>
  </si>
  <si>
    <t>±569 94505975</t>
  </si>
  <si>
    <t>lidi.orozco@gmail.com</t>
  </si>
  <si>
    <t>Sanhueza</t>
  </si>
  <si>
    <t>12900106-2</t>
  </si>
  <si>
    <t>+56977917381</t>
  </si>
  <si>
    <t>eoyarce@ingenieriasye.cl</t>
  </si>
  <si>
    <t>Luciano</t>
  </si>
  <si>
    <t>Romero</t>
  </si>
  <si>
    <t>22956654-7</t>
  </si>
  <si>
    <t>+56965727760</t>
  </si>
  <si>
    <t>luciano.p.r2009@gmail.com</t>
  </si>
  <si>
    <t>Nicolás</t>
  </si>
  <si>
    <t>+569 65368098</t>
  </si>
  <si>
    <t>palaciosnicolas79@gmail.com</t>
  </si>
  <si>
    <t>Alonso</t>
  </si>
  <si>
    <t>Palma</t>
  </si>
  <si>
    <t>Perez</t>
  </si>
  <si>
    <t>22632942-0</t>
  </si>
  <si>
    <t>Palmaalonso97@gmail.com</t>
  </si>
  <si>
    <t xml:space="preserve">22055908-4 </t>
  </si>
  <si>
    <t>569 9616 2583</t>
  </si>
  <si>
    <t>catabelenpalma.18@gmail.com</t>
  </si>
  <si>
    <t>Damariz Nathalia</t>
  </si>
  <si>
    <t>Marivil</t>
  </si>
  <si>
    <t>21644936-3</t>
  </si>
  <si>
    <t>Damariznathalia2129@gmail.com</t>
  </si>
  <si>
    <t xml:space="preserve">Diego </t>
  </si>
  <si>
    <t>Palta</t>
  </si>
  <si>
    <t>paltamoralesd@gmail.com</t>
  </si>
  <si>
    <t xml:space="preserve">Jocelyn </t>
  </si>
  <si>
    <t xml:space="preserve">Velásquez </t>
  </si>
  <si>
    <t xml:space="preserve">Victor </t>
  </si>
  <si>
    <t>Parra</t>
  </si>
  <si>
    <t xml:space="preserve">Venegas </t>
  </si>
  <si>
    <t>13916667-1</t>
  </si>
  <si>
    <t>Vparra.soporte@gmail.com</t>
  </si>
  <si>
    <t xml:space="preserve">Oscar eduardo </t>
  </si>
  <si>
    <t>Pedraza</t>
  </si>
  <si>
    <t xml:space="preserve">Galvez </t>
  </si>
  <si>
    <t xml:space="preserve">15588969-1 </t>
  </si>
  <si>
    <t>+56977270080</t>
  </si>
  <si>
    <t>opedrazahbl@gmail.com</t>
  </si>
  <si>
    <t>Orlando</t>
  </si>
  <si>
    <t>Tirado</t>
  </si>
  <si>
    <t>9521391-k</t>
  </si>
  <si>
    <t>±56968344184</t>
  </si>
  <si>
    <t>orlando.perez.t62@gmail.com</t>
  </si>
  <si>
    <t>Edgardo</t>
  </si>
  <si>
    <t>Pincheira</t>
  </si>
  <si>
    <t>+569 66452773</t>
  </si>
  <si>
    <t>edgardopincheira40@gmail.com</t>
  </si>
  <si>
    <t>Daniel</t>
  </si>
  <si>
    <t>Pino</t>
  </si>
  <si>
    <t>Gatica</t>
  </si>
  <si>
    <t>16958093-6</t>
  </si>
  <si>
    <t>+56961636425</t>
  </si>
  <si>
    <t>daniel.pino.gatica@gmail.com</t>
  </si>
  <si>
    <t xml:space="preserve">Katherine </t>
  </si>
  <si>
    <t>Poblete</t>
  </si>
  <si>
    <t>Villivar</t>
  </si>
  <si>
    <t>16718620-3</t>
  </si>
  <si>
    <t>+56993834039</t>
  </si>
  <si>
    <t>Katherine.p.v@gmail.com</t>
  </si>
  <si>
    <t xml:space="preserve">Catherine </t>
  </si>
  <si>
    <t>Quezada</t>
  </si>
  <si>
    <t xml:space="preserve">Catalán </t>
  </si>
  <si>
    <t>12459577-0</t>
  </si>
  <si>
    <t>+56977411324</t>
  </si>
  <si>
    <t>catherine.quezada2015@gmail.com</t>
  </si>
  <si>
    <t xml:space="preserve">Valentina </t>
  </si>
  <si>
    <t xml:space="preserve">21600592-9 </t>
  </si>
  <si>
    <t>+56940727650</t>
  </si>
  <si>
    <t>valequezada1822@gmail.com</t>
  </si>
  <si>
    <t>Quintanilla</t>
  </si>
  <si>
    <t>Ugalde</t>
  </si>
  <si>
    <t>rodrigo.quintanilla@gmail.com</t>
  </si>
  <si>
    <t>Catedral Peñaflor</t>
  </si>
  <si>
    <t>Ravilet</t>
  </si>
  <si>
    <t>Carrera</t>
  </si>
  <si>
    <t>12148330-0</t>
  </si>
  <si>
    <t>+56981588511</t>
  </si>
  <si>
    <t>mauricio.ravilet@hotmail.com</t>
  </si>
  <si>
    <t>Scarlett</t>
  </si>
  <si>
    <t xml:space="preserve">Repetto </t>
  </si>
  <si>
    <t>17908668-9</t>
  </si>
  <si>
    <t>Scarlett.repetto@gmail.com</t>
  </si>
  <si>
    <t xml:space="preserve">Marcelo </t>
  </si>
  <si>
    <t>Sayen</t>
  </si>
  <si>
    <t>15445951-0</t>
  </si>
  <si>
    <t xml:space="preserve">Anthonellaambar2014@gmail.com </t>
  </si>
  <si>
    <t>Marcos</t>
  </si>
  <si>
    <t>Ribeiro</t>
  </si>
  <si>
    <t>Salinas</t>
  </si>
  <si>
    <t>+569 66513963</t>
  </si>
  <si>
    <t>Tribedesign@gmail.com</t>
  </si>
  <si>
    <t xml:space="preserve"> </t>
  </si>
  <si>
    <t>20657366-k</t>
  </si>
  <si>
    <t>+569 84694205</t>
  </si>
  <si>
    <t>felipeandres200112@gmail.com</t>
  </si>
  <si>
    <t>Claudia</t>
  </si>
  <si>
    <t>Oyarzun</t>
  </si>
  <si>
    <t>+569 94156363</t>
  </si>
  <si>
    <t>Claudia.aro@hotmail.com</t>
  </si>
  <si>
    <t>18-05-0205</t>
  </si>
  <si>
    <t xml:space="preserve">Gustavo </t>
  </si>
  <si>
    <t>167745581-6</t>
  </si>
  <si>
    <t>g.rivera.12@live.cl</t>
  </si>
  <si>
    <t xml:space="preserve">Juan </t>
  </si>
  <si>
    <t>+56 9 50616900</t>
  </si>
  <si>
    <t>Juangabrielriveraespinosa@gmail.com</t>
  </si>
  <si>
    <t xml:space="preserve">Lucas </t>
  </si>
  <si>
    <t xml:space="preserve">Palominos </t>
  </si>
  <si>
    <t>+56933774526</t>
  </si>
  <si>
    <t>lucasriveros.twifac@gmail.com</t>
  </si>
  <si>
    <t xml:space="preserve">Olivier </t>
  </si>
  <si>
    <t>13279192-9</t>
  </si>
  <si>
    <t>+56967174785</t>
  </si>
  <si>
    <t>sriveros@navarreteconsultores.cl</t>
  </si>
  <si>
    <t>Roa</t>
  </si>
  <si>
    <t xml:space="preserve">Zurita </t>
  </si>
  <si>
    <t>±56978894183</t>
  </si>
  <si>
    <t>Claudia.roa.zurita@gmail.com</t>
  </si>
  <si>
    <t>Sepulveda</t>
  </si>
  <si>
    <t>18.866.043-6</t>
  </si>
  <si>
    <t>+5691234567</t>
  </si>
  <si>
    <t>Marcelo@romaninibus.cl</t>
  </si>
  <si>
    <t xml:space="preserve">Rodriguez </t>
  </si>
  <si>
    <t>+56931704924</t>
  </si>
  <si>
    <t>R.pedrazajaviera@gmail.com</t>
  </si>
  <si>
    <t xml:space="preserve">KAREN </t>
  </si>
  <si>
    <t xml:space="preserve">RODRIGUEZ </t>
  </si>
  <si>
    <t>MARTINEZ</t>
  </si>
  <si>
    <t>15437933-9</t>
  </si>
  <si>
    <t>+56953438617</t>
  </si>
  <si>
    <t>LUMINARES EN EL MUNDO</t>
  </si>
  <si>
    <t>cvasquezg77@gmail.com</t>
  </si>
  <si>
    <t xml:space="preserve">Ivonne Raquel </t>
  </si>
  <si>
    <t xml:space="preserve">Rodríguez </t>
  </si>
  <si>
    <t xml:space="preserve">Cruces </t>
  </si>
  <si>
    <t>6835472-2</t>
  </si>
  <si>
    <t>+569 986690214</t>
  </si>
  <si>
    <t xml:space="preserve">ivorodriguez2009@gmail.com </t>
  </si>
  <si>
    <t xml:space="preserve">Paula </t>
  </si>
  <si>
    <t xml:space="preserve">Bustos </t>
  </si>
  <si>
    <t xml:space="preserve">MARCELO </t>
  </si>
  <si>
    <t>SANCHEZ</t>
  </si>
  <si>
    <t>11.501.108-1</t>
  </si>
  <si>
    <t>+56997336957</t>
  </si>
  <si>
    <t>mprsventas@hotmail.com</t>
  </si>
  <si>
    <t>Enzo</t>
  </si>
  <si>
    <t>Romanini</t>
  </si>
  <si>
    <t>6.556.077-1</t>
  </si>
  <si>
    <t>enzo@romaninibus.cl</t>
  </si>
  <si>
    <t>Alessandro</t>
  </si>
  <si>
    <t xml:space="preserve">Romanini </t>
  </si>
  <si>
    <t>Dupont</t>
  </si>
  <si>
    <t>17.271.703-9</t>
  </si>
  <si>
    <t>alessandro@romaninibus.cl</t>
  </si>
  <si>
    <t>Abigail</t>
  </si>
  <si>
    <t>Mendoza</t>
  </si>
  <si>
    <t>22794575-3</t>
  </si>
  <si>
    <t>Abi.rom.men@gmail.com</t>
  </si>
  <si>
    <t>Vidal</t>
  </si>
  <si>
    <t>deromerov23@gmail.com</t>
  </si>
  <si>
    <t>samuel</t>
  </si>
  <si>
    <t>romero</t>
  </si>
  <si>
    <t>mendoza</t>
  </si>
  <si>
    <t>samuel.romero.mendosa.jeremia@gmail.com</t>
  </si>
  <si>
    <t xml:space="preserve">Romero </t>
  </si>
  <si>
    <t xml:space="preserve">Sagal </t>
  </si>
  <si>
    <t>romerosagal23@gmail.com</t>
  </si>
  <si>
    <t xml:space="preserve">Rozas </t>
  </si>
  <si>
    <t>Aliaga</t>
  </si>
  <si>
    <t xml:space="preserve">6278254-4 </t>
  </si>
  <si>
    <t>patarosas@gmail.com</t>
  </si>
  <si>
    <t>Orietta</t>
  </si>
  <si>
    <t>Rubio</t>
  </si>
  <si>
    <t>San Martin</t>
  </si>
  <si>
    <t>+569 85443422</t>
  </si>
  <si>
    <t>oroerubio@gmail.com</t>
  </si>
  <si>
    <t>Ruiz</t>
  </si>
  <si>
    <t>Cerpa</t>
  </si>
  <si>
    <t>7258219-5</t>
  </si>
  <si>
    <t>+56987751261</t>
  </si>
  <si>
    <t>Cristianruizcerpa@gmail.com</t>
  </si>
  <si>
    <t xml:space="preserve">Pamela </t>
  </si>
  <si>
    <t>+56964086130</t>
  </si>
  <si>
    <t>pam._saa@hotmail.com</t>
  </si>
  <si>
    <t xml:space="preserve">Ljubitza </t>
  </si>
  <si>
    <t>20426487-2</t>
  </si>
  <si>
    <t>+569 99858333</t>
  </si>
  <si>
    <t>Abimoorales80@gmail.com</t>
  </si>
  <si>
    <t xml:space="preserve">Victoria </t>
  </si>
  <si>
    <t>22203394-2</t>
  </si>
  <si>
    <t>+569 47471321</t>
  </si>
  <si>
    <t>Victoriasaavedra068@gmail.com</t>
  </si>
  <si>
    <t>Naim</t>
  </si>
  <si>
    <t>Salas</t>
  </si>
  <si>
    <t>21782234-3</t>
  </si>
  <si>
    <t>+56944233127</t>
  </si>
  <si>
    <t>Naim.salas.m@gmail.com</t>
  </si>
  <si>
    <t>Salazar</t>
  </si>
  <si>
    <t>+569 44589317</t>
  </si>
  <si>
    <t>Salazarnegreteamandavictoria@gmail.com</t>
  </si>
  <si>
    <t>19739458-5</t>
  </si>
  <si>
    <t>Daaaniel.sb@gmail.com</t>
  </si>
  <si>
    <t>Diego</t>
  </si>
  <si>
    <t>23.219.783-8</t>
  </si>
  <si>
    <t>+56 9 56690443</t>
  </si>
  <si>
    <t>diego767salinas@gmail.com</t>
  </si>
  <si>
    <t>Juan Carlos</t>
  </si>
  <si>
    <t>11350058-1</t>
  </si>
  <si>
    <t>+569 75315318</t>
  </si>
  <si>
    <t>jc767salinas@gmail.com</t>
  </si>
  <si>
    <t>Minor</t>
  </si>
  <si>
    <t xml:space="preserve">Braniff </t>
  </si>
  <si>
    <t>9245244-1</t>
  </si>
  <si>
    <t>Minor3921@hotmail.con</t>
  </si>
  <si>
    <t>OK</t>
  </si>
  <si>
    <t>+569 88487700</t>
  </si>
  <si>
    <t>rositaesp59@gmail.com</t>
  </si>
  <si>
    <t>Pedro</t>
  </si>
  <si>
    <t>Quiroz</t>
  </si>
  <si>
    <t>8577483-2</t>
  </si>
  <si>
    <t>Psalinas@gmail.com</t>
  </si>
  <si>
    <t xml:space="preserve">Salinas </t>
  </si>
  <si>
    <t>20707234-6</t>
  </si>
  <si>
    <t>+569 57730983</t>
  </si>
  <si>
    <t>alexandra.salinas767@gmail.com</t>
  </si>
  <si>
    <t>Sanchez</t>
  </si>
  <si>
    <t>San martin</t>
  </si>
  <si>
    <t>11973646-3</t>
  </si>
  <si>
    <t>+56950198921</t>
  </si>
  <si>
    <t>jessica.ssm28@hotmail.com</t>
  </si>
  <si>
    <t>Cristopher</t>
  </si>
  <si>
    <t>SANDOVAL</t>
  </si>
  <si>
    <t>23027468-1</t>
  </si>
  <si>
    <t>cris.sandovalopez@gmail.com</t>
  </si>
  <si>
    <t>Damaris</t>
  </si>
  <si>
    <t>Sandoval</t>
  </si>
  <si>
    <t>López</t>
  </si>
  <si>
    <t>20224418-1</t>
  </si>
  <si>
    <t>+569 57629657</t>
  </si>
  <si>
    <t>damaris.anais.lopez@gmail.com</t>
  </si>
  <si>
    <t>Hector. Alberto</t>
  </si>
  <si>
    <t>Piña</t>
  </si>
  <si>
    <t>13285328-2</t>
  </si>
  <si>
    <t>+ 56 9 82289419</t>
  </si>
  <si>
    <t>Albertosandovalpina@gmail.com</t>
  </si>
  <si>
    <t xml:space="preserve">Aguayo </t>
  </si>
  <si>
    <t>6755607-0</t>
  </si>
  <si>
    <t>Isabelsandovalaguayo77@gmail.com</t>
  </si>
  <si>
    <t xml:space="preserve">Sofía </t>
  </si>
  <si>
    <t xml:space="preserve">Sandoval </t>
  </si>
  <si>
    <t>sofipazsane@gmail.com</t>
  </si>
  <si>
    <t>Santander</t>
  </si>
  <si>
    <t>Campos</t>
  </si>
  <si>
    <t>13.662.832-1</t>
  </si>
  <si>
    <t>+56963461249</t>
  </si>
  <si>
    <t>Santanderv310@gmail.com</t>
  </si>
  <si>
    <t>Claudia Patricia</t>
  </si>
  <si>
    <t xml:space="preserve">Santander </t>
  </si>
  <si>
    <t>12.457.793-4</t>
  </si>
  <si>
    <t>9-54031106</t>
  </si>
  <si>
    <t>Csantander2003@gmail.com</t>
  </si>
  <si>
    <t>Ivan</t>
  </si>
  <si>
    <t>Santos</t>
  </si>
  <si>
    <t>16954136-1</t>
  </si>
  <si>
    <t>Santos.ivan.andres@gmail.com</t>
  </si>
  <si>
    <t xml:space="preserve">Sepulveda </t>
  </si>
  <si>
    <t>Seguel</t>
  </si>
  <si>
    <t xml:space="preserve">Luz marina </t>
  </si>
  <si>
    <t xml:space="preserve">Sepúlveda </t>
  </si>
  <si>
    <t>Ortiz</t>
  </si>
  <si>
    <t>+56982938316</t>
  </si>
  <si>
    <t>damarissepulvedaortiz@gmail.com</t>
  </si>
  <si>
    <t xml:space="preserve">María Antonia </t>
  </si>
  <si>
    <t>Sereño</t>
  </si>
  <si>
    <t>21282106-3</t>
  </si>
  <si>
    <t>+56959224886</t>
  </si>
  <si>
    <t>m.antoniasere@gmail.com</t>
  </si>
  <si>
    <t>Cynthia</t>
  </si>
  <si>
    <t xml:space="preserve">Faúndez </t>
  </si>
  <si>
    <t>14205395-0</t>
  </si>
  <si>
    <t>±56976227523</t>
  </si>
  <si>
    <t>Cynthiase@gmail.com</t>
  </si>
  <si>
    <t>Felipe Andres</t>
  </si>
  <si>
    <t>19576137-K</t>
  </si>
  <si>
    <t>+56968421604</t>
  </si>
  <si>
    <t>felippe.silvau@gmail.com</t>
  </si>
  <si>
    <t xml:space="preserve">Maria Helena </t>
  </si>
  <si>
    <t xml:space="preserve">Silva </t>
  </si>
  <si>
    <t xml:space="preserve">Rocha </t>
  </si>
  <si>
    <t>000000000</t>
  </si>
  <si>
    <t>+5513996724426</t>
  </si>
  <si>
    <t xml:space="preserve">Lenarocha10@gmail.com </t>
  </si>
  <si>
    <t xml:space="preserve">Maria jose </t>
  </si>
  <si>
    <t xml:space="preserve">Urra </t>
  </si>
  <si>
    <t xml:space="preserve">20835704-2 </t>
  </si>
  <si>
    <t>+56993771775</t>
  </si>
  <si>
    <t>Urrasilvamaria@gmail.com</t>
  </si>
  <si>
    <t xml:space="preserve">Adrián José </t>
  </si>
  <si>
    <t>Sita</t>
  </si>
  <si>
    <t>27541784-k</t>
  </si>
  <si>
    <t>+56 9 3533 1555</t>
  </si>
  <si>
    <t>hugo hernan</t>
  </si>
  <si>
    <t>soto</t>
  </si>
  <si>
    <t>peredo</t>
  </si>
  <si>
    <t>13477499-1</t>
  </si>
  <si>
    <t>hugonatural@gmail.com</t>
  </si>
  <si>
    <t xml:space="preserve">Muñoz </t>
  </si>
  <si>
    <t>+56996569835</t>
  </si>
  <si>
    <t>klsotom@gmail.com</t>
  </si>
  <si>
    <t>Marco</t>
  </si>
  <si>
    <t>+56996890788</t>
  </si>
  <si>
    <t>M.soto460@gmail.com</t>
  </si>
  <si>
    <t>21350438k</t>
  </si>
  <si>
    <t>Vicky.sr29@gmail.com</t>
  </si>
  <si>
    <t>Tobar</t>
  </si>
  <si>
    <t>22.519.719-9</t>
  </si>
  <si>
    <t>+56963116851</t>
  </si>
  <si>
    <t>tobaralvialdiego@gmail.com</t>
  </si>
  <si>
    <t>22305508-7</t>
  </si>
  <si>
    <t>+56933135291</t>
  </si>
  <si>
    <t>Santanderbenja07@gmail.com</t>
  </si>
  <si>
    <t>Magdalena</t>
  </si>
  <si>
    <t>19113009K</t>
  </si>
  <si>
    <t>+569 82356597</t>
  </si>
  <si>
    <t>magdalena.a.torresr@gmail.com</t>
  </si>
  <si>
    <t>+56972817377</t>
  </si>
  <si>
    <t>Matitorressantander@gmail.com</t>
  </si>
  <si>
    <t>Arias</t>
  </si>
  <si>
    <t>joaco10.kurzweil@gmail.com</t>
  </si>
  <si>
    <t xml:space="preserve">Torres </t>
  </si>
  <si>
    <t>Hara</t>
  </si>
  <si>
    <t>12.895.570-4</t>
  </si>
  <si>
    <t>+56995454246</t>
  </si>
  <si>
    <t>alejandrot32@gmail.com</t>
  </si>
  <si>
    <t xml:space="preserve">Matias </t>
  </si>
  <si>
    <t xml:space="preserve">21312436-6 </t>
  </si>
  <si>
    <t>anamaria</t>
  </si>
  <si>
    <t xml:space="preserve">lagos </t>
  </si>
  <si>
    <t>13298135-3</t>
  </si>
  <si>
    <t>atroncosol@yahoo.com</t>
  </si>
  <si>
    <t xml:space="preserve">Magdalena </t>
  </si>
  <si>
    <t>Aránguiz</t>
  </si>
  <si>
    <t>23500375-9</t>
  </si>
  <si>
    <t>+56945877533</t>
  </si>
  <si>
    <t>magdalena.g.troncoso@gmail.com</t>
  </si>
  <si>
    <t xml:space="preserve">Iván </t>
  </si>
  <si>
    <t>ivan.troncoso@comunidadbaluarte.cl</t>
  </si>
  <si>
    <t>Viviana</t>
  </si>
  <si>
    <t>Villanueva</t>
  </si>
  <si>
    <t>8795231-2</t>
  </si>
  <si>
    <t>+56994341188</t>
  </si>
  <si>
    <t>Viví.urra@gmail.com</t>
  </si>
  <si>
    <t>MONICA</t>
  </si>
  <si>
    <t>URREA</t>
  </si>
  <si>
    <t>murzuaurrea63@gmail.com</t>
  </si>
  <si>
    <t xml:space="preserve">Flor </t>
  </si>
  <si>
    <t xml:space="preserve">Urzúa </t>
  </si>
  <si>
    <t xml:space="preserve">Gallardo </t>
  </si>
  <si>
    <t xml:space="preserve">699.507-1 </t>
  </si>
  <si>
    <t>Florcitaurzua@gmail.com</t>
  </si>
  <si>
    <t xml:space="preserve">Carolina </t>
  </si>
  <si>
    <t xml:space="preserve">Valdes </t>
  </si>
  <si>
    <t>+56988066769</t>
  </si>
  <si>
    <t>carvirvm@gmail.com</t>
  </si>
  <si>
    <t>Marcelo Alonso</t>
  </si>
  <si>
    <t>Avila</t>
  </si>
  <si>
    <t xml:space="preserve">10377053-K </t>
  </si>
  <si>
    <t>MARCELO.ALONSO.VALDES@GMAIL.COM</t>
  </si>
  <si>
    <t>Paloma</t>
  </si>
  <si>
    <t xml:space="preserve">Valenzuela </t>
  </si>
  <si>
    <t xml:space="preserve">Ramirez </t>
  </si>
  <si>
    <t>+56954228507</t>
  </si>
  <si>
    <t>Valenzuelapaloma3403@gmail.com</t>
  </si>
  <si>
    <t xml:space="preserve">Denisse Romina </t>
  </si>
  <si>
    <t>21395207-2</t>
  </si>
  <si>
    <t>+569 67187069</t>
  </si>
  <si>
    <t>vdenisse343@gmail.com</t>
  </si>
  <si>
    <t xml:space="preserve">Giselle </t>
  </si>
  <si>
    <t>204533777-6</t>
  </si>
  <si>
    <t>+56977895410</t>
  </si>
  <si>
    <t>gisellevargasdiaz1@gmail.com</t>
  </si>
  <si>
    <t xml:space="preserve">Eliseo </t>
  </si>
  <si>
    <t>Vasquez</t>
  </si>
  <si>
    <t>17850922-5</t>
  </si>
  <si>
    <t>eliseo.vasquez24@gmail.com</t>
  </si>
  <si>
    <t>Betancur</t>
  </si>
  <si>
    <t>6768768-k</t>
  </si>
  <si>
    <t>Mical</t>
  </si>
  <si>
    <t>mikalsita@gmail.com</t>
  </si>
  <si>
    <t>13312134-K</t>
  </si>
  <si>
    <t>+56950140195</t>
  </si>
  <si>
    <t xml:space="preserve">Luminares en el Mundo </t>
  </si>
  <si>
    <t xml:space="preserve">Fernanda </t>
  </si>
  <si>
    <t>Rodriguez</t>
  </si>
  <si>
    <t>22171581-0</t>
  </si>
  <si>
    <t>+56 9 32194765</t>
  </si>
  <si>
    <t>Luminares en el Mundo</t>
  </si>
  <si>
    <t>Samuel</t>
  </si>
  <si>
    <t>16.790.932-9</t>
  </si>
  <si>
    <t>+56978281570</t>
  </si>
  <si>
    <t>Sammu.drs@gmail.com</t>
  </si>
  <si>
    <t>13.897.045-0</t>
  </si>
  <si>
    <t>+56986971653</t>
  </si>
  <si>
    <t>margarita.vasquezgonzalez@gmail.com</t>
  </si>
  <si>
    <t xml:space="preserve">Gipsy </t>
  </si>
  <si>
    <t xml:space="preserve">Vergara </t>
  </si>
  <si>
    <t xml:space="preserve">Araya </t>
  </si>
  <si>
    <t>Gipvergara@gmail.com</t>
  </si>
  <si>
    <t xml:space="preserve">Paola elizabeth </t>
  </si>
  <si>
    <t>Villa</t>
  </si>
  <si>
    <t xml:space="preserve">Carrillo </t>
  </si>
  <si>
    <t xml:space="preserve">12495179-8 </t>
  </si>
  <si>
    <t xml:space="preserve">Paolavillacarrillo@gmail.com </t>
  </si>
  <si>
    <t xml:space="preserve">Villa </t>
  </si>
  <si>
    <t>Gajardo</t>
  </si>
  <si>
    <t>cristopher.villa.gajardo@gmail.com</t>
  </si>
  <si>
    <t>Virginia</t>
  </si>
  <si>
    <t xml:space="preserve">Villagra </t>
  </si>
  <si>
    <t>13863746-8</t>
  </si>
  <si>
    <t>Veloisa@gmail.com</t>
  </si>
  <si>
    <t xml:space="preserve">Olivia </t>
  </si>
  <si>
    <t>Villarreal</t>
  </si>
  <si>
    <t xml:space="preserve">Villarreal </t>
  </si>
  <si>
    <t>12144530-1</t>
  </si>
  <si>
    <t>569 5158782</t>
  </si>
  <si>
    <t>olivia.coty.v@gmail.com</t>
  </si>
  <si>
    <t>visita</t>
  </si>
  <si>
    <t>Villarroel</t>
  </si>
  <si>
    <t>catalinasofiavillarroelsoto@gmail.com</t>
  </si>
  <si>
    <t>Moreno</t>
  </si>
  <si>
    <t>21106252-5</t>
  </si>
  <si>
    <t>danielavillarroel2703@gmail.com</t>
  </si>
  <si>
    <t>jeremías</t>
  </si>
  <si>
    <t>villaseca</t>
  </si>
  <si>
    <t>riquelme</t>
  </si>
  <si>
    <t>22.109.563-4</t>
  </si>
  <si>
    <t>+56966883711</t>
  </si>
  <si>
    <t>jeremiasvillaseca1@gmail.com</t>
  </si>
  <si>
    <t>Alfredo segundo</t>
  </si>
  <si>
    <t>Villegas</t>
  </si>
  <si>
    <t>4156702-3</t>
  </si>
  <si>
    <t>+56932589927</t>
  </si>
  <si>
    <t>Notiene@gmail.com</t>
  </si>
  <si>
    <t>Jonathan Fredy</t>
  </si>
  <si>
    <t>Vogt</t>
  </si>
  <si>
    <t>15725610-6</t>
  </si>
  <si>
    <t>(+56953374372)</t>
  </si>
  <si>
    <t>catedral de la alabanza coquimbo</t>
  </si>
  <si>
    <t>jonathan.vogt.vargas@gmail.com</t>
  </si>
  <si>
    <t xml:space="preserve">Yáñez </t>
  </si>
  <si>
    <t xml:space="preserve">Fernández </t>
  </si>
  <si>
    <t>21996163-4</t>
  </si>
  <si>
    <t>+56923816527</t>
  </si>
  <si>
    <t>martinfernandez0805@gmail.com</t>
  </si>
  <si>
    <t>Leonardo</t>
  </si>
  <si>
    <t>Zamora</t>
  </si>
  <si>
    <t>15374787-3</t>
  </si>
  <si>
    <t>zamora.leonardo@gmail.com</t>
  </si>
  <si>
    <t xml:space="preserve">Zelada </t>
  </si>
  <si>
    <t>10473964-4</t>
  </si>
  <si>
    <t>+56973188653</t>
  </si>
  <si>
    <t>elizabeth.zelada.lopez@gmail.com</t>
  </si>
  <si>
    <t>Lidia</t>
  </si>
  <si>
    <t>9.856.993-6</t>
  </si>
  <si>
    <t>+56979286034</t>
  </si>
  <si>
    <t>lidiadenissv@gmail.com</t>
  </si>
  <si>
    <t>Ramos</t>
  </si>
  <si>
    <t>delegateID</t>
  </si>
  <si>
    <t>DNI</t>
  </si>
  <si>
    <t>fullname</t>
  </si>
  <si>
    <t>gender</t>
  </si>
  <si>
    <t>mobile</t>
  </si>
  <si>
    <t>email</t>
  </si>
  <si>
    <t>industry</t>
  </si>
  <si>
    <t>organization</t>
  </si>
  <si>
    <t>paymentrefnum</t>
  </si>
  <si>
    <t>ticketNo</t>
  </si>
  <si>
    <t>datereg</t>
  </si>
  <si>
    <t>amount</t>
  </si>
  <si>
    <t>package</t>
  </si>
  <si>
    <t>checkedin</t>
  </si>
  <si>
    <t>glsyear</t>
  </si>
  <si>
    <t>ticket_paid</t>
  </si>
  <si>
    <t>payment_mode</t>
  </si>
  <si>
    <t>payment_date</t>
  </si>
  <si>
    <t>21.313.496-5</t>
  </si>
  <si>
    <t>Guillermo Aaron Aviles Briones</t>
  </si>
  <si>
    <t>Male</t>
  </si>
  <si>
    <t>gavilesbriones@gmail.com</t>
  </si>
  <si>
    <t>NOT DEFINED</t>
  </si>
  <si>
    <t>LHS32XP</t>
  </si>
  <si>
    <t>5000.00</t>
  </si>
  <si>
    <t>NORMAL</t>
  </si>
  <si>
    <t>NO</t>
  </si>
  <si>
    <t>YES</t>
  </si>
  <si>
    <t>Bank Deposit</t>
  </si>
  <si>
    <t>22.002.327-3</t>
  </si>
  <si>
    <t>Paz Vallejos NuÃ±ez</t>
  </si>
  <si>
    <t>Female</t>
  </si>
  <si>
    <t>Paz.vallejos05@gmail.com</t>
  </si>
  <si>
    <t>Q27KN3A</t>
  </si>
  <si>
    <t>San2295070547N</t>
  </si>
  <si>
    <t>Catedral Copiapo</t>
  </si>
  <si>
    <t>22.299.884-0</t>
  </si>
  <si>
    <t>SofÃ­a Vallejos NuÃ±ez</t>
  </si>
  <si>
    <t>Sofiaestervn1920@gmail.com</t>
  </si>
  <si>
    <t>OQDHUMS</t>
  </si>
  <si>
    <t>18074570k</t>
  </si>
  <si>
    <t>Melanie Flavia GÃ³mez berrios</t>
  </si>
  <si>
    <t>m.gomezbe24@gmail.com</t>
  </si>
  <si>
    <t>CUASON6</t>
  </si>
  <si>
    <t>San279084706N</t>
  </si>
  <si>
    <t>10000.00</t>
  </si>
  <si>
    <t>10758581-8</t>
  </si>
  <si>
    <t>Jose luis gonzalez serrano</t>
  </si>
  <si>
    <t>Jl7gonzalez@hotmail.com</t>
  </si>
  <si>
    <t>2MEAK3J</t>
  </si>
  <si>
    <t>14182670-0</t>
  </si>
  <si>
    <t>Pablo RodrÃ­guez Maureira</t>
  </si>
  <si>
    <t>Pabloyberni2026@gmail.com</t>
  </si>
  <si>
    <t>58JM4AW</t>
  </si>
  <si>
    <t>26955297-2</t>
  </si>
  <si>
    <t>Anyuris del Carmen merchan</t>
  </si>
  <si>
    <t>merchangelvesanyurisdelcarmen@gmail.com</t>
  </si>
  <si>
    <t>9TKXAMC</t>
  </si>
  <si>
    <t>Wilson Montanares meza</t>
  </si>
  <si>
    <t>wilson.montanares@gmail.com</t>
  </si>
  <si>
    <t>FRML5EK</t>
  </si>
  <si>
    <t>Leyda Pinilla NiÃ±o</t>
  </si>
  <si>
    <t>Red1mujeres@gmail.com</t>
  </si>
  <si>
    <t>PC4IQB8_ChVisita_F@21</t>
  </si>
  <si>
    <t>13799249-3</t>
  </si>
  <si>
    <t>Cinthia Burgos Quijada</t>
  </si>
  <si>
    <t>Cinthiabq1976@gmail.com</t>
  </si>
  <si>
    <t>TRSFM5K</t>
  </si>
  <si>
    <t>Zagaltiarelara@gmail.com</t>
  </si>
  <si>
    <t>13085704-3</t>
  </si>
  <si>
    <t>RubÃ©n SepÃºlveda Rosas</t>
  </si>
  <si>
    <t>Rubensr7@gmail.com</t>
  </si>
  <si>
    <t>K306H1N</t>
  </si>
  <si>
    <t>Katherine DÃ­az</t>
  </si>
  <si>
    <t>kathy.2diaz@gmail.com</t>
  </si>
  <si>
    <t>D87PXRQ</t>
  </si>
  <si>
    <t>Transferencia recibida</t>
  </si>
  <si>
    <t>Robinson Elias Mora Vallejos</t>
  </si>
  <si>
    <t>Guillermo Aaron Aviles</t>
  </si>
  <si>
    <t>Tamara Loretto Guerra</t>
  </si>
  <si>
    <t>ARRIAGADA LOPEZ PAULINA XIMENA</t>
  </si>
  <si>
    <t>ARANDA ROJAS MONICA RAQUEL</t>
  </si>
  <si>
    <t>DANNY ESTEBAN ROMERO VIDAL</t>
  </si>
  <si>
    <t>MIGUEL ANTONIO LOPEZ TORRES</t>
  </si>
  <si>
    <t>LEIVA VALLEJOS PATRICIA DEL CARMEN</t>
  </si>
  <si>
    <t>CORALES PEREDA SANDRA PAOLA</t>
  </si>
  <si>
    <t>Flor Constanza Marcoleta Navarro</t>
  </si>
  <si>
    <t>LUNA ROPERO ANGIE CAROLINA</t>
  </si>
  <si>
    <t>MARCELO PATRICIO ROJAS SANCHEZ</t>
  </si>
  <si>
    <t>$</t>
  </si>
  <si>
    <t>$ (Adrian y Yasmeury)</t>
  </si>
  <si>
    <t>$(Falta Eduardo Castro)</t>
  </si>
  <si>
    <t>HUIDOBRO GONZALEZ FERNANDA JAEL</t>
  </si>
  <si>
    <t>AHUMADA LOPEZ VALENTINA FERNANDA</t>
  </si>
  <si>
    <t>Magdalena Abigail Torr</t>
  </si>
  <si>
    <t>CARLOS ANTONIO CALDERON OLIVARES</t>
  </si>
  <si>
    <t>Leonardo Daniel Zamora Gonzalez</t>
  </si>
  <si>
    <t>FARFAN MOYA ALEJANDRO ANTONIO</t>
  </si>
  <si>
    <t>Gabriel Gonzlez</t>
  </si>
  <si>
    <t>NOEMI ALEJANDRA RUBILAR AGUILAR</t>
  </si>
  <si>
    <t>VALDES MOYA CAROLINA VIRGINIA</t>
  </si>
  <si>
    <t>ESPINOZA ACEVEDO JUDITH ESTER</t>
  </si>
  <si>
    <t>ANGELITA LAGOS SUZARTE</t>
  </si>
  <si>
    <t>Marcos Ribeiro Salinas</t>
  </si>
  <si>
    <t>VLADIMIR ANTONIO LUNA ROCHA</t>
  </si>
  <si>
    <t>$ (Cristian Ruiz)</t>
  </si>
  <si>
    <t>$ (Benjamin Flores)</t>
  </si>
  <si>
    <t>$(Jaime Bustos)</t>
  </si>
  <si>
    <t>Felipe Andres Riquelme</t>
  </si>
  <si>
    <t>SEPULVEDA ORTIZ DAMARIS PAOLA</t>
  </si>
  <si>
    <t>MIRIAM ELIZABETH GONZALEZ MOYA</t>
  </si>
  <si>
    <t>VARGAS DIAZ GISELLE ANAIS</t>
  </si>
  <si>
    <t>KATHERINE EVELYN DIAZ DIAZ</t>
  </si>
  <si>
    <t>FUENTES VASQUEZ MADELINE CONSTANZA</t>
  </si>
  <si>
    <t>DANIELA PAHOLA VILLARROEL MORENO</t>
  </si>
  <si>
    <t>SALINAS LAGOS ALEXANDRA CATALINA</t>
  </si>
  <si>
    <t>Alexis Antonio Tello Barra</t>
  </si>
  <si>
    <t>PATRICIA ROZAS ALIAGA</t>
  </si>
  <si>
    <t>Alessandro Enzo Romanini Dupont</t>
  </si>
  <si>
    <t>RUTH YORLEIDA PINILLA NINO</t>
  </si>
  <si>
    <t>$(Raminundo)</t>
  </si>
  <si>
    <t>$ (Leyda Pinilla)</t>
  </si>
  <si>
    <t>BASCUNAN SARMIENTO GUSTAVO BENJAMIN</t>
  </si>
  <si>
    <t>CHERYL ANDREA CALDERON CALDERON</t>
  </si>
  <si>
    <t>Jessica Paola Sanchez San Martin</t>
  </si>
  <si>
    <t>FLOR ESTER ARCOS PALACIOS</t>
  </si>
  <si>
    <t>ALFARO VENEGAS BASTIAN ISAIAS</t>
  </si>
  <si>
    <t>PALMA PEREZ ALONSO MARCELO</t>
  </si>
  <si>
    <t>NOEMI MARGARITA CARO SAAVEDRA</t>
  </si>
  <si>
    <t>JONATHAN FREDY VOGT VARGAS</t>
  </si>
  <si>
    <t>Nelson Fermin Cofre</t>
  </si>
  <si>
    <t>GABRIEL ALBERTO GUTIERREZ CARO</t>
  </si>
  <si>
    <t>JOVINO JOSE VILLARROEL ESPINOZA</t>
  </si>
  <si>
    <t>HERRERA MIRANDA DUNIA RUTH</t>
  </si>
  <si>
    <t>$(Jose Ferrada)</t>
  </si>
  <si>
    <t>$(Luis Moya)</t>
  </si>
  <si>
    <t>$(Catalina Villarroel)}</t>
  </si>
  <si>
    <t>$(marta Carrasco)</t>
  </si>
  <si>
    <t>MA</t>
  </si>
  <si>
    <t>SOTO ROMERO VICTORIA ANGELA</t>
  </si>
  <si>
    <t>ELIZABETH LISSETTE MARIANGEL MARTINEZ</t>
  </si>
  <si>
    <t>VENEGAS GUZMAN CAROLINA DE LAS MERCEDES</t>
  </si>
  <si>
    <t>CATHERINE EDITH QUEZADA CATALAN</t>
  </si>
  <si>
    <t>JUAN MANUEL CARO HIDALGO</t>
  </si>
  <si>
    <t>CLAUDIA LORENA ROA ZURITA</t>
  </si>
  <si>
    <t>Gustavo Rivera Bustamante</t>
  </si>
  <si>
    <t>STEPHANY DANAE NUNEZ VENEGAS</t>
  </si>
  <si>
    <t>PAULINA ROXANA MARQUES MOLINA</t>
  </si>
  <si>
    <t>Cesar Francisco Maerten Valdivia</t>
  </si>
  <si>
    <t>MELLA FREDES JUDITH MACKARENNA</t>
  </si>
  <si>
    <t>David Diaz Gutierrez</t>
  </si>
  <si>
    <t>Martín Alonso Alcavil Troncoso</t>
  </si>
  <si>
    <t>$ (Juan Carlos Alfaro Canales)</t>
  </si>
  <si>
    <t>$ (Roberto Nuñez y Sergio Ancan)</t>
  </si>
  <si>
    <t>$(Paz)</t>
  </si>
  <si>
    <t>$(Ivan Santos Santos)</t>
  </si>
  <si>
    <t>NAVALES NAVALES GENOVEVA MARISOL</t>
  </si>
  <si>
    <t>Christian Alejandro Jara Anriquez</t>
  </si>
  <si>
    <t>ROMERO SAGAL CRISTIAN BERNABE</t>
  </si>
  <si>
    <t>JAVIERA HENRIQUEZ BURGOS</t>
  </si>
  <si>
    <t>PEDRAZA GALVEZ OSCAR EDUARDO</t>
  </si>
  <si>
    <t>VALENZUELA RAMIREZ PALOMA MONSERRAT</t>
  </si>
  <si>
    <t>Nicolas Alejandro Pala</t>
  </si>
  <si>
    <t>ORLANDO PEREZ TIRADO</t>
  </si>
  <si>
    <t>ERICO ANTONIO DOMENE YOST</t>
  </si>
  <si>
    <t>FELIPE IGNACIO JARA OYARCE</t>
  </si>
  <si>
    <t>$ (Javiera Rodriguez)</t>
  </si>
  <si>
    <t>$(Martin Yañez)</t>
  </si>
  <si>
    <t>$(Monica MOya)</t>
  </si>
  <si>
    <t>CRISTOPHER DANIEL SANDOVAL LOPEZ</t>
  </si>
  <si>
    <t>QUEZADA QUEZADA VALENTINA PAZ</t>
  </si>
  <si>
    <t>Esteban Israel Labra Urra</t>
  </si>
  <si>
    <t>SAMUEL ESTEBAN HERRERA HUERTA</t>
  </si>
  <si>
    <t>Sergio Ivan Araya Contreras</t>
  </si>
  <si>
    <t>JANA BONTA EVELYN DEL CARMEN</t>
  </si>
  <si>
    <t>MARTINEZ ARGENAL KAROL PAOLA</t>
  </si>
  <si>
    <t>Katherine Evelyn Diaz Diaz</t>
  </si>
  <si>
    <t>Andres Alonso Marin</t>
  </si>
  <si>
    <t>SOTO MUNOZ KATHERINE LORETO</t>
  </si>
  <si>
    <t>POBLETE VILLIVAR KATHERINE VALERIA</t>
  </si>
  <si>
    <t>$ (Javiera Gomez)</t>
  </si>
  <si>
    <t>$(MINOR)</t>
  </si>
  <si>
    <t>$(Christian Arcos)</t>
  </si>
  <si>
    <t>CRISTIAN JESUS ESPINOSA NAVARRETE</t>
  </si>
  <si>
    <t>ALCARRAZ GUTIERREZ MARIA ALEJANDRA</t>
  </si>
  <si>
    <t>ALEXIS ESTEBAN MACIAS CALVIO</t>
  </si>
  <si>
    <t>RAFAEL ANDRES MARIN CARRASCO</t>
  </si>
  <si>
    <t>Lucas Matias Riveros</t>
  </si>
  <si>
    <t>$(Jorge Arriagada)</t>
  </si>
  <si>
    <t>$(Paula Rodriguez)</t>
  </si>
  <si>
    <t>Lidia Margareth Orozco</t>
  </si>
  <si>
    <t>GOMEZ JANA ALINE CATALINA</t>
  </si>
  <si>
    <t>VICTORIA BELEN ALVIAL MEDINA</t>
  </si>
  <si>
    <t>VILLA GAJARDO CRISTOPHER JESUS</t>
  </si>
  <si>
    <t>MINO CARCAMO LUIS EDUARDO</t>
  </si>
  <si>
    <t>FELIX ALEXANDER HIDALGO MONTALBA</t>
  </si>
  <si>
    <t>MARIN CARRASCO RAFAEL ANDRES</t>
  </si>
  <si>
    <t>Manuel Bustamante Ferrada</t>
  </si>
  <si>
    <t>VALLEJOS NUNEZ SOFIA ESTER</t>
  </si>
  <si>
    <t>$(Genesis Morales)</t>
  </si>
  <si>
    <t>$(Monica Urzua)</t>
  </si>
  <si>
    <t>SIMON ALONSO CAROCA GONZALEZ</t>
  </si>
  <si>
    <t>HUERTA NUNEZ GONZALO RICARDO</t>
  </si>
  <si>
    <t>Alexis Antonio Llano Rojas</t>
  </si>
  <si>
    <t>GONZALEZ SOZA CAROLINA ELIZABETH</t>
  </si>
  <si>
    <t>MARJORIE SOLANGE FLORES PENA</t>
  </si>
  <si>
    <t>CORDOVA MARTINEZ PAOLA ANDREA</t>
  </si>
  <si>
    <t>FELIPE ANDRES AHUMADA GARCIA</t>
  </si>
  <si>
    <t>BOBADILLA DIAZ ANGELICA DEL CARMEN</t>
  </si>
  <si>
    <t>VALLEJOS NUNEZ PAZ ABIGAIL</t>
  </si>
  <si>
    <t>JACOB ISAAC MADRID ZAMBRANO</t>
  </si>
  <si>
    <t>Cheresty Dahian Hormaz</t>
  </si>
  <si>
    <t>SANDRA PRISCILLA RIVEROS OLIVIER</t>
  </si>
  <si>
    <t>ARAVENA PALACIOS KAREM YAMILET</t>
  </si>
  <si>
    <t>CASTILLO TRUJILLO CAROL LILLY</t>
  </si>
  <si>
    <t>LIZ FERRADA ARCOS</t>
  </si>
  <si>
    <t>ANTONIA NAVARRETE RIVEROS</t>
  </si>
  <si>
    <t>Jaime Justo Diocares Guíñez</t>
  </si>
  <si>
    <t>FREDES CONTRERAS SANDRA JACQUELINNE</t>
  </si>
  <si>
    <t>ZELADA LOPEZ ELIZABETH LORETO</t>
  </si>
  <si>
    <t>GUTIERREZ GALVEZ BASTIAN GABRIEL</t>
  </si>
  <si>
    <t>OSCAR MIGUEL ARAUNA ALVARADO</t>
  </si>
  <si>
    <t>Karla Andrea Labra</t>
  </si>
  <si>
    <t>LOPEZ TORRES MARIANELA MARICEL</t>
  </si>
  <si>
    <t>$ (Catalina Palma)</t>
  </si>
  <si>
    <t>$ (Alberto Sandoval)</t>
  </si>
  <si>
    <t>CARVAJAL VARGAS YASNA SOLEDAD</t>
  </si>
  <si>
    <t>GONZALEZ SERRANO JOSE LUIS</t>
  </si>
  <si>
    <t>MEDINA PAPAMIJA MARIA CRISTINA</t>
  </si>
  <si>
    <t>Cecilia Alejandra Benu</t>
  </si>
  <si>
    <t>FUENTES GUZMAN ERNESTO ANTONIO</t>
  </si>
  <si>
    <t>Cecilia Lorena Cabrer</t>
  </si>
  <si>
    <t>NEIRA CARRASCO STEFANIA CAROLINA</t>
  </si>
  <si>
    <t>$(Ricardo Jopia)</t>
  </si>
  <si>
    <t>Belen Gabriela Guerra</t>
  </si>
  <si>
    <t>MARIA ANTONIA SERENO GUTIERREZ</t>
  </si>
  <si>
    <t>NEGRETE RIQUELME ADRIANA MARISOL</t>
  </si>
  <si>
    <t>RODRIGUEZ CRUCES IVONNE RAQUEL</t>
  </si>
  <si>
    <t>Denisse Badilla</t>
  </si>
  <si>
    <t>ELIZABETH OYARCE SANHUEZA</t>
  </si>
  <si>
    <t>MAURICIO GUTIERREZ GARAY</t>
  </si>
  <si>
    <t>ROJAS CACERES YIGLIA DIBLAYM</t>
  </si>
  <si>
    <t>SANTANDER CAMPOS VERONICA ANGELICA</t>
  </si>
  <si>
    <t>Sandra Mariluz Galvez</t>
  </si>
  <si>
    <t>GALLARDO GOMEZ CAROLINA AYLEEN</t>
  </si>
  <si>
    <t>SCHAROM LUAN CASTELLON CAPETILLO</t>
  </si>
  <si>
    <t>$ (Vicente Espina)</t>
  </si>
  <si>
    <t>$(Roberto )</t>
  </si>
  <si>
    <t>SOTO ALVARADO MARCO EXEQUIEL</t>
  </si>
  <si>
    <t>Jessica Del Carmen Gutierrez Irarrazaval</t>
  </si>
  <si>
    <t>ORDENES SANCHEZ JHONY ALEXIS</t>
  </si>
  <si>
    <t>DANIELA MARIS ARANGUIZ NEGRETE</t>
  </si>
  <si>
    <t>$( Arturo, Cynthia y Agustina Araneda)</t>
  </si>
  <si>
    <t>$ (Mauricio y Mariana)</t>
  </si>
  <si>
    <t>MARJORIE DENISSE ESPINOZA ANGOTZI</t>
  </si>
  <si>
    <t>PALACIOS ROMERO LUCIANO ALONSO</t>
  </si>
  <si>
    <t>Hugo Hernán Soto Peredo</t>
  </si>
  <si>
    <t>Rodrigo Alejandro Quintanilla Ugalde</t>
  </si>
  <si>
    <t>FLOR ANDREA LARA SOTO</t>
  </si>
  <si>
    <t>$(Sofia Sandoval Espinoza)</t>
  </si>
  <si>
    <t>TORRES SANTANDER MATIAS JOSUE</t>
  </si>
  <si>
    <t>LOPEZ ABURTO BENJAMIN MANUEL</t>
  </si>
  <si>
    <t>Rodrigo Esteban Elguet</t>
  </si>
  <si>
    <t>Daniel Adonay Pino Gatica</t>
  </si>
  <si>
    <t>Marco Jaime Herrera Urrutia</t>
  </si>
  <si>
    <t>$(catalina Calfil)</t>
  </si>
  <si>
    <t>Scarlett Alexandra Repetto Flores</t>
  </si>
  <si>
    <t>Elizabeth Del Carmen Lara Manriquez</t>
  </si>
  <si>
    <t>ANA LAURA TRONCOSO ARANGUIZ</t>
  </si>
  <si>
    <t>$(José Guerra)</t>
  </si>
  <si>
    <t>$ Flor Urzua</t>
  </si>
  <si>
    <t>$ (Magda)</t>
  </si>
  <si>
    <t>FLORES MARCHANT KAREN MARCELA</t>
  </si>
  <si>
    <t>Gabriela Bustos Martinez</t>
  </si>
  <si>
    <t>$ (Victor Parra)</t>
  </si>
  <si>
    <t>Jocelyn Andrea Parada Velasquez</t>
  </si>
  <si>
    <t>MARGARITA DE LAS MERCEDES OROSTEGUI ESCOBAR</t>
  </si>
  <si>
    <t>Mauricio Alejandro Rav</t>
  </si>
  <si>
    <t>$ (Maria José)</t>
  </si>
  <si>
    <t>Inga Castro Machuca</t>
  </si>
  <si>
    <t>MARIN GONZALEZ DANILO IGNACIO</t>
  </si>
  <si>
    <t>CLAUDIA ANGELICA ACOSTA TORREALBA</t>
  </si>
  <si>
    <t>$ ( Marlen Lagos y Lucas Marin)</t>
  </si>
  <si>
    <t>Noemi Margarita Caro</t>
  </si>
  <si>
    <t>MESA DIAZ JACQUELINE ISABEL</t>
  </si>
  <si>
    <t>$(polera, transfiero a mi cuenta Security)</t>
  </si>
  <si>
    <t>$(Miguel Mesa)</t>
  </si>
  <si>
    <t>MONTANARES MEZA WILSON TOMISLAF</t>
  </si>
  <si>
    <t>PABLO RUBEN CHACON AGUIRRE</t>
  </si>
  <si>
    <t>GONZALEZ CHAVARRIA MONSERRAT ISIDORA</t>
  </si>
  <si>
    <t>JUAN BAUTISTA DUARTE VELIZ</t>
  </si>
  <si>
    <t>DAMARIS ANAIS SANDOVAL LOPEZ</t>
  </si>
  <si>
    <t>Sandra Del Rosario Olivos Munoz</t>
  </si>
  <si>
    <t>SANTANDER CAMPOS CLAUDIA PATRICIA</t>
  </si>
  <si>
    <t>NAVARRETE PAINEVILO RODRIGO EDUARDO</t>
  </si>
  <si>
    <t>MARIN LAGOS CONSTANZA BELEN</t>
  </si>
  <si>
    <t>ROMERO MENDOZA SAMUEL JEREMIAS</t>
  </si>
  <si>
    <t>Joaquin Ignacio Caroca</t>
  </si>
  <si>
    <t>VASQUEZ CASTILLO SAMUEL JOB</t>
  </si>
  <si>
    <t>Paola Andrea Gonzalez Montes De Oca</t>
  </si>
  <si>
    <t>GERARDO VILLARROEL DUERTO</t>
  </si>
  <si>
    <t>Tiare Isaura Lara</t>
  </si>
  <si>
    <t>MUNITA CANO ENRIQUE ALEJANDRO</t>
  </si>
  <si>
    <t>Felipe Alberto Nahuela</t>
  </si>
  <si>
    <t>Cristian Manuel Vasquez Gonzalez</t>
  </si>
  <si>
    <t>MARISOL DE LAS NIEVE MARTINEZ BERRIOS</t>
  </si>
  <si>
    <t>VILLAGRA ESPINOZA VIRGINIA ELOISA</t>
  </si>
  <si>
    <t>Ivan Andres Santos Santos</t>
  </si>
  <si>
    <t>MARTIN ELIAS GONZALEZ VARGAS</t>
  </si>
  <si>
    <t>Elizabet Mical Vasquez</t>
  </si>
  <si>
    <t>Samuel Jara Delgado</t>
  </si>
  <si>
    <t>Diego Felipe Palta Morales</t>
  </si>
  <si>
    <t>FERRETERIA DANNY LUIS CHAVEZ GARRIDO E.I</t>
  </si>
  <si>
    <t>CORDOVA ESPINOZA SpA</t>
  </si>
  <si>
    <t>URRA VILLANUEVA NOELIA VIVIANA</t>
  </si>
  <si>
    <t>JOSE MANUEL ALVAREZ GARCIA</t>
  </si>
  <si>
    <t>HINOJOSA MONTENEGRO ISABEL DEL ROSARIO</t>
  </si>
  <si>
    <t>MORALES MORA LJUBITZA DEL CARMEN</t>
  </si>
  <si>
    <t>REYES SAYEN LUIS MARCELO</t>
  </si>
  <si>
    <t>Catalina Ana Mihelic Rosas</t>
  </si>
  <si>
    <t>JOAQUIN EDUARDO TORRES ARIAS</t>
  </si>
  <si>
    <t>JOSE IVAN TRONCOSO LARA</t>
  </si>
  <si>
    <t xml:space="preserve">Catedral de la alabanza </t>
  </si>
  <si>
    <t xml:space="preserve">Esposa </t>
  </si>
  <si>
    <t>Sebastian Fernandez</t>
  </si>
  <si>
    <t>Liderazgo general ($7.000)</t>
  </si>
  <si>
    <t>Estudiante ($3.000)</t>
  </si>
  <si>
    <t>Estudiante ($3.500)</t>
  </si>
  <si>
    <t>Visita ($3.000)</t>
  </si>
  <si>
    <t>$(Gleidy)</t>
  </si>
  <si>
    <t>Gerardo</t>
  </si>
  <si>
    <t>Duerto</t>
  </si>
  <si>
    <t>Tiare</t>
  </si>
  <si>
    <t>Zagal</t>
  </si>
  <si>
    <t>Guillermo</t>
  </si>
  <si>
    <t xml:space="preserve">Aviles </t>
  </si>
  <si>
    <t>Briones</t>
  </si>
  <si>
    <t>Montanares</t>
  </si>
  <si>
    <t>Pinilla</t>
  </si>
  <si>
    <t>Berrios</t>
  </si>
  <si>
    <t>Meza</t>
  </si>
  <si>
    <t xml:space="preserve">Melanie </t>
  </si>
  <si>
    <t>Jose luis</t>
  </si>
  <si>
    <t>Wilson</t>
  </si>
  <si>
    <t xml:space="preserve">Leyda </t>
  </si>
  <si>
    <t>Katherine</t>
  </si>
  <si>
    <t>22299884-0</t>
  </si>
  <si>
    <t>HS</t>
  </si>
  <si>
    <t>24 de mayo</t>
  </si>
  <si>
    <t>,</t>
  </si>
  <si>
    <t>MOYA GONZALEZ SALVADOR HUMBERTO</t>
  </si>
  <si>
    <t>FUENTES GUZMAN SERGIO ANTONIO</t>
  </si>
  <si>
    <t>URZUA GALLARDO FLOR MYRIAM</t>
  </si>
  <si>
    <t>EDUARDO ALBERTO NAVARRETE MARTINEZ</t>
  </si>
  <si>
    <t>CANETE BUSTAMANTE BARBARA ANDREA</t>
  </si>
  <si>
    <t>BUSTOS INOSTROZA VICENTE JESUS</t>
  </si>
  <si>
    <t>DIEGO ALONSO TOBAR ALVIAL</t>
  </si>
  <si>
    <t>LEONARDO DANIEL ZAMORA GONZALEZ</t>
  </si>
  <si>
    <t>Ofrenda</t>
  </si>
  <si>
    <t>Cuenta de Marca temporal</t>
  </si>
  <si>
    <t>Etiquetas de fila</t>
  </si>
  <si>
    <t>(en blanco)</t>
  </si>
  <si>
    <t>Total general</t>
  </si>
  <si>
    <t>(Varios elementos)</t>
  </si>
  <si>
    <t>Efectivo</t>
  </si>
  <si>
    <t>Transferencia a Kathy</t>
  </si>
  <si>
    <t>Saldo Cuenta</t>
  </si>
  <si>
    <t>Total a Recaudar</t>
  </si>
  <si>
    <t>Total Recaudado</t>
  </si>
  <si>
    <t>Diferencia a Favor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</si>
</sst>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dd\-mm\-yyyy"/>
    <numFmt numFmtId="165" formatCode="d/m/yyyy"/>
    <numFmt numFmtId="166" formatCode="d&quot; de &quot;mmmm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rgb="FFFF0000"/>
      <name val="Arial"/>
      <scheme val="minor"/>
    </font>
    <font>
      <b/>
      <sz val="10"/>
      <color theme="2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5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442F65"/>
      </right>
      <top style="thin">
        <color rgb="FFFFFF00"/>
      </top>
      <bottom style="thin">
        <color rgb="FFFFFF00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  <diagonal/>
    </border>
    <border>
      <left style="thin">
        <color rgb="FF442F65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442F65"/>
      </right>
      <top style="thin">
        <color rgb="FF00FF00"/>
      </top>
      <bottom style="thin">
        <color rgb="FF00FF00"/>
      </bottom>
      <diagonal/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/>
      <right style="thin">
        <color rgb="FF442F65"/>
      </right>
      <top/>
      <bottom/>
      <diagonal/>
    </border>
    <border>
      <left style="thin">
        <color rgb="FF442F65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442F65"/>
      </right>
      <top style="thin">
        <color rgb="FFFFFFFF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42" fontId="12" fillId="0" borderId="0" applyFont="0" applyFill="0" applyBorder="0" applyAlignment="0" applyProtection="0"/>
  </cellStyleXfs>
  <cellXfs count="129">
    <xf numFmtId="0" fontId="0" fillId="0" borderId="0" xfId="0"/>
    <xf numFmtId="0" fontId="1" fillId="0" borderId="5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0" xfId="0" applyFont="1" applyFill="1"/>
    <xf numFmtId="0" fontId="1" fillId="0" borderId="8" xfId="0" quotePrefix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5" fontId="1" fillId="0" borderId="8" xfId="0" applyNumberFormat="1" applyFont="1" applyBorder="1" applyAlignment="1">
      <alignment vertical="center"/>
    </xf>
    <xf numFmtId="0" fontId="1" fillId="3" borderId="0" xfId="0" applyFont="1" applyFill="1"/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4" fontId="1" fillId="0" borderId="22" xfId="0" applyNumberFormat="1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164" fontId="1" fillId="0" borderId="24" xfId="0" applyNumberFormat="1" applyFont="1" applyBorder="1" applyAlignment="1">
      <alignment vertical="center"/>
    </xf>
    <xf numFmtId="164" fontId="1" fillId="0" borderId="25" xfId="0" applyNumberFormat="1" applyFont="1" applyBorder="1" applyAlignment="1">
      <alignment vertical="center"/>
    </xf>
    <xf numFmtId="14" fontId="1" fillId="0" borderId="22" xfId="0" applyNumberFormat="1" applyFont="1" applyBorder="1" applyAlignment="1">
      <alignment vertical="center"/>
    </xf>
    <xf numFmtId="14" fontId="1" fillId="0" borderId="25" xfId="0" applyNumberFormat="1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164" fontId="1" fillId="0" borderId="27" xfId="0" applyNumberFormat="1" applyFont="1" applyBorder="1" applyAlignment="1">
      <alignment vertical="center"/>
    </xf>
    <xf numFmtId="14" fontId="1" fillId="0" borderId="28" xfId="0" applyNumberFormat="1" applyFont="1" applyBorder="1" applyAlignment="1">
      <alignment vertical="center"/>
    </xf>
    <xf numFmtId="166" fontId="1" fillId="0" borderId="0" xfId="0" applyNumberFormat="1" applyFont="1"/>
    <xf numFmtId="166" fontId="5" fillId="0" borderId="0" xfId="0" applyNumberFormat="1" applyFont="1"/>
    <xf numFmtId="0" fontId="1" fillId="0" borderId="0" xfId="0" applyFont="1"/>
    <xf numFmtId="0" fontId="1" fillId="4" borderId="0" xfId="0" applyFont="1" applyFill="1"/>
    <xf numFmtId="0" fontId="6" fillId="4" borderId="0" xfId="0" applyFont="1" applyFill="1"/>
    <xf numFmtId="3" fontId="6" fillId="4" borderId="0" xfId="0" applyNumberFormat="1" applyFont="1" applyFill="1"/>
    <xf numFmtId="3" fontId="1" fillId="4" borderId="0" xfId="0" applyNumberFormat="1" applyFont="1" applyFill="1"/>
    <xf numFmtId="3" fontId="6" fillId="4" borderId="0" xfId="0" applyNumberFormat="1" applyFont="1" applyFill="1" applyAlignment="1">
      <alignment horizontal="right"/>
    </xf>
    <xf numFmtId="3" fontId="1" fillId="0" borderId="0" xfId="0" applyNumberFormat="1" applyFont="1"/>
    <xf numFmtId="0" fontId="6" fillId="0" borderId="0" xfId="0" applyFont="1"/>
    <xf numFmtId="20" fontId="1" fillId="0" borderId="0" xfId="0" applyNumberFormat="1" applyFont="1"/>
    <xf numFmtId="3" fontId="7" fillId="4" borderId="0" xfId="0" applyNumberFormat="1" applyFont="1" applyFill="1"/>
    <xf numFmtId="3" fontId="1" fillId="2" borderId="0" xfId="0" applyNumberFormat="1" applyFont="1" applyFill="1"/>
    <xf numFmtId="0" fontId="7" fillId="0" borderId="0" xfId="0" applyFont="1"/>
    <xf numFmtId="0" fontId="1" fillId="5" borderId="0" xfId="0" applyFont="1" applyFill="1"/>
    <xf numFmtId="3" fontId="8" fillId="0" borderId="0" xfId="0" applyNumberFormat="1" applyFont="1"/>
    <xf numFmtId="0" fontId="8" fillId="0" borderId="0" xfId="0" applyFont="1"/>
    <xf numFmtId="3" fontId="8" fillId="4" borderId="0" xfId="0" applyNumberFormat="1" applyFont="1" applyFill="1" applyAlignment="1">
      <alignment horizontal="left"/>
    </xf>
    <xf numFmtId="0" fontId="1" fillId="6" borderId="0" xfId="0" applyFont="1" applyFill="1"/>
    <xf numFmtId="3" fontId="1" fillId="6" borderId="0" xfId="0" applyNumberFormat="1" applyFont="1" applyFill="1"/>
    <xf numFmtId="3" fontId="8" fillId="0" borderId="0" xfId="0" applyNumberFormat="1" applyFont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0" xfId="0" applyFont="1"/>
    <xf numFmtId="0" fontId="1" fillId="7" borderId="0" xfId="0" applyFont="1" applyFill="1"/>
    <xf numFmtId="3" fontId="1" fillId="7" borderId="0" xfId="0" applyNumberFormat="1" applyFont="1" applyFill="1"/>
    <xf numFmtId="3" fontId="0" fillId="0" borderId="0" xfId="0" applyNumberFormat="1"/>
    <xf numFmtId="20" fontId="0" fillId="0" borderId="0" xfId="0" applyNumberFormat="1"/>
    <xf numFmtId="14" fontId="0" fillId="0" borderId="0" xfId="0" applyNumberFormat="1"/>
    <xf numFmtId="0" fontId="10" fillId="0" borderId="5" xfId="0" applyFont="1" applyBorder="1" applyAlignment="1">
      <alignment vertical="center"/>
    </xf>
    <xf numFmtId="0" fontId="0" fillId="8" borderId="0" xfId="0" applyFill="1"/>
    <xf numFmtId="3" fontId="0" fillId="8" borderId="0" xfId="0" applyNumberFormat="1" applyFill="1"/>
    <xf numFmtId="14" fontId="1" fillId="0" borderId="4" xfId="0" applyNumberFormat="1" applyFont="1" applyBorder="1" applyAlignment="1">
      <alignment vertical="center"/>
    </xf>
    <xf numFmtId="14" fontId="1" fillId="0" borderId="7" xfId="0" applyNumberFormat="1" applyFont="1" applyBorder="1" applyAlignment="1">
      <alignment vertical="center"/>
    </xf>
    <xf numFmtId="14" fontId="1" fillId="0" borderId="14" xfId="0" applyNumberFormat="1" applyFont="1" applyBorder="1" applyAlignment="1">
      <alignment vertical="center"/>
    </xf>
    <xf numFmtId="14" fontId="1" fillId="0" borderId="10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4" fontId="1" fillId="0" borderId="15" xfId="0" applyNumberFormat="1" applyFont="1" applyBorder="1" applyAlignment="1">
      <alignment vertical="center"/>
    </xf>
    <xf numFmtId="14" fontId="1" fillId="0" borderId="11" xfId="0" applyNumberFormat="1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1" fillId="0" borderId="5" xfId="0" applyFont="1" applyBorder="1"/>
    <xf numFmtId="0" fontId="1" fillId="0" borderId="0" xfId="0" applyFont="1" applyAlignment="1">
      <alignment vertical="center"/>
    </xf>
    <xf numFmtId="0" fontId="0" fillId="0" borderId="11" xfId="0" applyBorder="1"/>
    <xf numFmtId="0" fontId="0" fillId="0" borderId="8" xfId="0" applyBorder="1"/>
    <xf numFmtId="0" fontId="11" fillId="0" borderId="8" xfId="0" applyFont="1" applyBorder="1"/>
    <xf numFmtId="0" fontId="0" fillId="0" borderId="5" xfId="0" applyBorder="1"/>
    <xf numFmtId="0" fontId="11" fillId="0" borderId="11" xfId="0" applyFont="1" applyBorder="1"/>
    <xf numFmtId="14" fontId="1" fillId="0" borderId="0" xfId="0" applyNumberFormat="1" applyFont="1" applyAlignment="1">
      <alignment vertical="center"/>
    </xf>
    <xf numFmtId="14" fontId="0" fillId="0" borderId="5" xfId="0" applyNumberFormat="1" applyBorder="1"/>
    <xf numFmtId="164" fontId="1" fillId="0" borderId="0" xfId="0" applyNumberFormat="1" applyFont="1" applyAlignment="1">
      <alignment vertical="center"/>
    </xf>
    <xf numFmtId="14" fontId="0" fillId="0" borderId="8" xfId="0" applyNumberFormat="1" applyBorder="1"/>
    <xf numFmtId="14" fontId="0" fillId="0" borderId="11" xfId="0" applyNumberFormat="1" applyBorder="1"/>
    <xf numFmtId="0" fontId="1" fillId="0" borderId="16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0" fillId="0" borderId="6" xfId="0" applyBorder="1"/>
    <xf numFmtId="0" fontId="0" fillId="0" borderId="9" xfId="0" applyBorder="1"/>
    <xf numFmtId="0" fontId="0" fillId="0" borderId="12" xfId="0" applyBorder="1"/>
    <xf numFmtId="0" fontId="0" fillId="0" borderId="29" xfId="0" applyBorder="1"/>
    <xf numFmtId="14" fontId="1" fillId="0" borderId="13" xfId="0" applyNumberFormat="1" applyFont="1" applyBorder="1" applyAlignment="1">
      <alignment vertical="center"/>
    </xf>
    <xf numFmtId="0" fontId="0" fillId="9" borderId="0" xfId="0" applyFill="1"/>
    <xf numFmtId="3" fontId="0" fillId="9" borderId="0" xfId="0" applyNumberFormat="1" applyFill="1"/>
    <xf numFmtId="0" fontId="10" fillId="0" borderId="11" xfId="0" applyFont="1" applyBorder="1" applyAlignment="1">
      <alignment vertical="center"/>
    </xf>
    <xf numFmtId="14" fontId="10" fillId="0" borderId="11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" fillId="0" borderId="29" xfId="0" applyFont="1" applyBorder="1" applyAlignment="1">
      <alignment vertical="center"/>
    </xf>
    <xf numFmtId="0" fontId="11" fillId="9" borderId="0" xfId="0" applyFont="1" applyFill="1"/>
    <xf numFmtId="0" fontId="11" fillId="0" borderId="0" xfId="0" applyFont="1"/>
    <xf numFmtId="14" fontId="11" fillId="0" borderId="0" xfId="0" applyNumberFormat="1" applyFont="1"/>
    <xf numFmtId="14" fontId="0" fillId="0" borderId="17" xfId="0" applyNumberFormat="1" applyBorder="1"/>
    <xf numFmtId="14" fontId="1" fillId="0" borderId="30" xfId="0" applyNumberFormat="1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14" fontId="1" fillId="0" borderId="31" xfId="0" applyNumberFormat="1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0" fillId="0" borderId="31" xfId="0" applyBorder="1"/>
    <xf numFmtId="14" fontId="0" fillId="0" borderId="31" xfId="0" applyNumberFormat="1" applyBorder="1"/>
    <xf numFmtId="0" fontId="1" fillId="0" borderId="32" xfId="0" applyFont="1" applyBorder="1" applyAlignment="1">
      <alignment vertical="center"/>
    </xf>
    <xf numFmtId="0" fontId="13" fillId="0" borderId="0" xfId="0" applyFont="1"/>
    <xf numFmtId="3" fontId="13" fillId="0" borderId="0" xfId="0" applyNumberFormat="1" applyFont="1"/>
    <xf numFmtId="0" fontId="0" fillId="0" borderId="35" xfId="0" applyBorder="1"/>
    <xf numFmtId="0" fontId="0" fillId="0" borderId="36" xfId="0" applyBorder="1"/>
    <xf numFmtId="0" fontId="0" fillId="0" borderId="33" xfId="0" pivotButton="1" applyBorder="1"/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7" xfId="0" applyBorder="1"/>
    <xf numFmtId="0" fontId="0" fillId="0" borderId="38" xfId="0" applyBorder="1" applyAlignment="1">
      <alignment horizontal="left"/>
    </xf>
    <xf numFmtId="0" fontId="0" fillId="0" borderId="36" xfId="0" pivotButton="1" applyBorder="1"/>
    <xf numFmtId="42" fontId="0" fillId="0" borderId="0" xfId="1" applyFont="1"/>
    <xf numFmtId="14" fontId="11" fillId="0" borderId="11" xfId="0" applyNumberFormat="1" applyFont="1" applyBorder="1"/>
    <xf numFmtId="0" fontId="0" fillId="0" borderId="0" xfId="0" applyAlignment="1">
      <alignment horizontal="left"/>
    </xf>
    <xf numFmtId="44" fontId="0" fillId="0" borderId="0" xfId="0" applyNumberFormat="1"/>
    <xf numFmtId="0" fontId="11" fillId="0" borderId="0" xfId="0" applyFont="1" applyAlignment="1">
      <alignment horizontal="left"/>
    </xf>
    <xf numFmtId="42" fontId="14" fillId="0" borderId="0" xfId="1" applyFont="1"/>
    <xf numFmtId="42" fontId="0" fillId="0" borderId="0" xfId="0" applyNumberFormat="1"/>
  </cellXfs>
  <cellStyles count="2">
    <cellStyle name="Moneda [0]" xfId="1" builtinId="7"/>
    <cellStyle name="Normal" xfId="0" builtinId="0"/>
  </cellStyles>
  <dxfs count="8">
    <dxf>
      <numFmt numFmtId="19" formatCode="dd/mm/yyyy"/>
    </dxf>
    <dxf>
      <font>
        <b/>
        <strike val="0"/>
        <outline val="0"/>
        <shadow val="0"/>
        <u val="none"/>
        <vertAlign val="baseline"/>
        <sz val="10"/>
        <color theme="2"/>
        <name val="Arial"/>
        <scheme val="min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Respuestas de formulario 1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Plataforma-style" pivot="0" count="3" xr9:uid="{00000000-0011-0000-FFFF-FFFF01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rubilar" refreshedDate="45803.479536805557" createdVersion="8" refreshedVersion="8" minRefreshableVersion="3" recordCount="345" xr:uid="{C06D70C5-DD99-41FB-8807-B03DCD42591D}">
  <cacheSource type="worksheet">
    <worksheetSource name="Form_Responses1"/>
  </cacheSource>
  <cacheFields count="14">
    <cacheField name="Marca temporal" numFmtId="14">
      <sharedItems containsSemiMixedTypes="0" containsNonDate="0" containsDate="1" containsString="0" minDate="2025-05-11T00:00:00" maxDate="2025-05-25T00:00:00" count="328">
        <d v="2025-05-11T12:18:10"/>
        <d v="2025-05-11T12:33:18"/>
        <d v="2025-05-11T12:40:36"/>
        <d v="2025-05-11T12:52:11"/>
        <d v="2025-05-11T13:11:06"/>
        <d v="2025-05-11T13:11:30"/>
        <d v="2025-05-11T13:13:11"/>
        <d v="2025-05-11T13:17:27"/>
        <d v="2025-05-11T13:17:46"/>
        <d v="2025-05-11T13:17:47"/>
        <d v="2025-05-11T13:18:10"/>
        <d v="2025-05-11T13:21:18"/>
        <d v="2025-05-11T13:25:27"/>
        <d v="2025-05-11T13:29:28"/>
        <d v="2025-05-11T13:30:52"/>
        <d v="2025-05-11T15:25:52"/>
        <d v="2025-05-11T15:29:25"/>
        <d v="2025-05-11T18:21:16"/>
        <d v="2025-05-11T18:49:20"/>
        <d v="2025-05-11T20:56:14"/>
        <d v="2025-05-11T21:00:15"/>
        <d v="2025-05-11T21:02:46"/>
        <d v="2025-05-11T22:23:14"/>
        <d v="2025-05-12T21:33:36"/>
        <d v="2025-05-13T00:08:12"/>
        <d v="2025-05-13T10:14:21"/>
        <d v="2025-05-13T10:21:44"/>
        <d v="2025-05-13T10:33:26"/>
        <d v="2025-05-13T10:36:17"/>
        <d v="2025-05-13T10:41:19"/>
        <d v="2025-05-13T12:07:36"/>
        <d v="2025-05-13T12:49:19"/>
        <d v="2025-05-13T14:42:02"/>
        <d v="2025-05-13T18:04:30"/>
        <d v="2025-05-13T18:14:38"/>
        <d v="2025-05-13T19:15:35"/>
        <d v="2025-05-13T19:17:59"/>
        <d v="2025-05-13T19:19:24"/>
        <d v="2025-05-13T19:21:13"/>
        <d v="2025-05-13T19:25:45"/>
        <d v="2025-05-13T19:33:20"/>
        <d v="2025-05-13T19:54:08"/>
        <d v="2025-05-13T20:02:19"/>
        <d v="2025-05-13T20:03:27"/>
        <d v="2025-05-13T21:24:45"/>
        <d v="2025-05-14T00:45:28"/>
        <d v="2025-05-14T09:49:19"/>
        <d v="2025-05-14T09:50:18"/>
        <d v="2025-05-14T09:52:02"/>
        <d v="2025-05-14T09:52:48"/>
        <d v="2025-05-14T11:03:32"/>
        <d v="2025-05-14T12:14:37"/>
        <d v="2025-05-14T12:45:01"/>
        <d v="2025-05-14T12:47:21"/>
        <d v="2025-05-14T12:50:28"/>
        <d v="2025-05-14T13:36:23"/>
        <d v="2025-05-14T14:01:35"/>
        <d v="2025-05-14T18:46:23"/>
        <d v="2025-05-14T18:48:08"/>
        <d v="2025-05-14T20:05:11"/>
        <d v="2025-05-14T21:14:42"/>
        <d v="2025-05-14T21:25:27"/>
        <d v="2025-05-15T00:04:29"/>
        <d v="2025-05-15T12:46:13"/>
        <d v="2025-05-15T19:38:57"/>
        <d v="2025-05-15T19:58:39"/>
        <d v="2025-05-15T21:38:52"/>
        <d v="2025-05-15T23:24:19"/>
        <d v="2025-05-15T23:28:27"/>
        <d v="2025-05-15T23:45:15"/>
        <d v="2025-05-16T10:32:05"/>
        <d v="2025-05-16T10:34:02"/>
        <d v="2025-05-16T10:56:32"/>
        <d v="2025-05-16T11:29:06"/>
        <d v="2025-05-16T12:19:45"/>
        <d v="2025-05-16T13:08:27"/>
        <d v="2025-05-16T13:11:31"/>
        <d v="2025-05-16T13:14:58"/>
        <d v="2025-05-16T13:27:39"/>
        <d v="2025-05-16T16:15:56"/>
        <d v="2025-05-16T17:02:31"/>
        <d v="2025-05-16T21:10:18"/>
        <d v="2025-05-17T10:07:58"/>
        <d v="2025-05-17T10:10:03"/>
        <d v="2025-05-17T11:42:56"/>
        <d v="2025-05-17T16:17:53"/>
        <d v="2025-05-17T16:20:43"/>
        <d v="2025-05-17T16:22:38"/>
        <d v="2025-05-17T16:23:51"/>
        <d v="2025-05-17T20:17:26"/>
        <d v="2025-05-17T20:19:57"/>
        <d v="2025-05-17T20:59:29"/>
        <d v="2025-05-17T22:19:01"/>
        <d v="2025-05-17T22:54:23"/>
        <d v="2025-05-17T22:58:40"/>
        <d v="2025-05-18T00:23:57"/>
        <d v="2025-05-18T10:14:30"/>
        <d v="2025-05-18T10:16:52"/>
        <d v="2025-05-18T10:20:24"/>
        <d v="2025-05-18T10:21:14"/>
        <d v="2025-05-18T10:52:30"/>
        <d v="2025-05-18T10:53:37"/>
        <d v="2025-05-18T10:55:22"/>
        <d v="2025-05-18T10:56:59"/>
        <d v="2025-05-18T11:34:01"/>
        <d v="2025-05-18T11:48:29"/>
        <d v="2025-05-18T12:29:09"/>
        <d v="2025-05-18T13:16:19"/>
        <d v="2025-05-18T13:16:35"/>
        <d v="2025-05-18T13:17:25"/>
        <d v="2025-05-18T13:17:51"/>
        <d v="2025-05-18T13:18:38"/>
        <d v="2025-05-18T13:19:43"/>
        <d v="2025-05-18T13:21:58"/>
        <d v="2025-05-18T13:23:27"/>
        <d v="2025-05-18T13:24:53"/>
        <d v="2025-05-18T13:29:01"/>
        <d v="2025-05-18T13:31:12"/>
        <d v="2025-05-18T13:33:40"/>
        <d v="2025-05-18T13:34:40"/>
        <d v="2025-05-18T13:35:23"/>
        <d v="2025-05-18T13:35:58"/>
        <d v="2025-05-18T13:38:32"/>
        <d v="2025-05-18T13:39:58"/>
        <d v="2025-05-18T13:53:55"/>
        <d v="2025-05-18T14:33:16"/>
        <d v="2025-05-18T16:23:26"/>
        <d v="2025-05-18T18:36:36"/>
        <d v="2025-05-18T19:54:37"/>
        <d v="2025-05-18T20:02:57"/>
        <d v="2025-05-18T20:52:42"/>
        <d v="2025-05-18T21:15:52"/>
        <d v="2025-05-18T21:16:41"/>
        <d v="2025-05-18T21:24:20"/>
        <d v="2025-05-18T21:26:04"/>
        <d v="2025-05-18T21:26:06"/>
        <d v="2025-05-18T21:29:21"/>
        <d v="2025-05-18T21:32:01"/>
        <d v="2025-05-18T21:34:42"/>
        <d v="2025-05-18T21:50:56"/>
        <d v="2025-05-18T23:45:26"/>
        <d v="2025-05-18T23:47:11"/>
        <d v="2025-05-19T12:18:06"/>
        <d v="2025-05-19T12:23:55"/>
        <d v="2025-05-19T12:40:58"/>
        <d v="2025-05-19T12:45:18"/>
        <d v="2025-05-19T13:00:28"/>
        <d v="2025-05-19T13:01:56"/>
        <d v="2025-05-19T13:38:13"/>
        <d v="2025-05-19T13:49:28"/>
        <d v="2025-05-19T13:50:19"/>
        <d v="2025-05-19T14:10:11"/>
        <d v="2025-05-19T14:10:58"/>
        <d v="2025-05-19T14:50:41"/>
        <d v="2025-05-19T15:52:23"/>
        <d v="2025-05-19T15:55:08"/>
        <d v="2025-05-19T17:10:26"/>
        <d v="2025-05-19T19:30:20"/>
        <d v="2025-05-19T19:58:23"/>
        <d v="2025-05-19T19:59:51"/>
        <d v="2025-05-19T20:00:09"/>
        <d v="2025-05-19T20:16:54"/>
        <d v="2025-05-19T21:12:31"/>
        <d v="2025-05-19T21:14:00"/>
        <d v="2025-05-19T21:21:25"/>
        <d v="2025-05-19T22:34:51"/>
        <d v="2025-05-19T23:52:52"/>
        <d v="2025-05-20T07:44:37"/>
        <d v="2025-05-20T08:13:42"/>
        <d v="2025-05-20T09:03:13"/>
        <d v="2025-05-20T11:41:28"/>
        <d v="2025-05-20T12:50:02"/>
        <d v="2025-05-20T12:52:13"/>
        <d v="2025-05-20T12:53:44"/>
        <d v="2025-05-20T12:54:24"/>
        <d v="2025-05-20T13:10:41"/>
        <d v="2025-05-20T13:30:45"/>
        <d v="2025-05-20T13:44:16"/>
        <d v="2025-05-20T13:44:49"/>
        <d v="2025-05-20T13:47:10"/>
        <d v="2025-05-20T13:52:43"/>
        <d v="2025-05-20T13:59:55"/>
        <d v="2025-05-20T14:06:28"/>
        <d v="2025-05-20T14:08:22"/>
        <d v="2025-05-20T14:27:58"/>
        <d v="2025-05-20T14:39:01"/>
        <d v="2025-05-20T14:41:44"/>
        <d v="2025-05-20T15:10:21"/>
        <d v="2025-05-20T15:33:44"/>
        <d v="2025-05-20T15:34:43"/>
        <d v="2025-05-20T15:34:47"/>
        <d v="2025-05-20T15:35:41"/>
        <d v="2025-05-20T16:04:07"/>
        <d v="2025-05-20T16:26:58"/>
        <d v="2025-05-20T17:13:03"/>
        <d v="2025-05-20T17:29:11"/>
        <d v="2025-05-20T17:38:09"/>
        <d v="2025-05-20T18:24:14"/>
        <d v="2025-05-20T18:33:02"/>
        <d v="2025-05-20T18:37:22"/>
        <d v="2025-05-20T19:39:28"/>
        <d v="2025-05-20T19:46:58"/>
        <d v="2025-05-20T20:17:34"/>
        <d v="2025-05-20T20:18:11"/>
        <d v="2025-05-20T20:26:24"/>
        <d v="2025-05-20T22:59:00"/>
        <d v="2025-05-21T00:12:48"/>
        <d v="2025-05-21T00:26:09"/>
        <d v="2025-05-21T00:27:24"/>
        <d v="2025-05-21T08:49:43"/>
        <d v="2025-05-21T11:37:22"/>
        <d v="2025-05-21T11:51:56"/>
        <d v="2025-05-21T12:21:40"/>
        <d v="2025-05-21T13:35:25"/>
        <d v="2025-05-21T14:19:25"/>
        <d v="2025-05-21T16:34:16"/>
        <d v="2025-05-21T16:55:24"/>
        <d v="2025-05-21T16:58:28"/>
        <d v="2025-05-21T17:42:53"/>
        <d v="2025-05-21T18:39:09"/>
        <d v="2025-05-21T19:33:27"/>
        <d v="2025-05-21T20:22:02"/>
        <d v="2025-05-21T20:39:38"/>
        <d v="2025-05-21T22:29:46"/>
        <d v="2025-05-21T23:39:02"/>
        <d v="2025-05-21T23:40:36"/>
        <d v="2025-05-21T23:42:37"/>
        <d v="2025-05-22T08:16:51"/>
        <d v="2025-05-22T09:23:42"/>
        <d v="2025-05-22T10:43:30"/>
        <d v="2025-05-22T11:06:39"/>
        <d v="2025-05-22T14:40:48"/>
        <d v="2025-05-22T14:43:05"/>
        <d v="2025-05-22T14:44:39"/>
        <d v="2025-05-22T16:21:55"/>
        <d v="2025-05-22T16:25:13"/>
        <d v="2025-05-22T16:30:07"/>
        <d v="2025-05-22T16:33:31"/>
        <d v="2025-05-22T16:54:25"/>
        <d v="2025-05-22T17:36:13"/>
        <d v="2025-05-22T18:57:47"/>
        <d v="2025-05-22T19:58:42"/>
        <d v="2025-05-22T20:17:46"/>
        <d v="2025-05-22T21:04:17"/>
        <d v="2025-05-22T21:29:42"/>
        <d v="2025-05-22T21:48:51"/>
        <d v="2025-05-22T23:30:41"/>
        <d v="2025-05-23T00:08:06"/>
        <d v="2025-05-23T00:46:21"/>
        <d v="2025-05-23T06:23:40"/>
        <d v="2025-05-23T08:05:21"/>
        <d v="2025-05-23T08:31:55"/>
        <d v="2025-05-23T08:54:47"/>
        <d v="2025-05-23T09:04:46"/>
        <d v="2025-05-23T09:33:53"/>
        <d v="2025-05-23T10:13:37"/>
        <d v="2025-05-23T10:16:27"/>
        <d v="2025-05-23T10:30:21"/>
        <d v="2025-05-23T10:47:50"/>
        <d v="2025-05-23T10:49:52"/>
        <d v="2025-05-23T10:56:04"/>
        <d v="2025-05-23T11:12:44"/>
        <d v="2025-05-23T11:32:49"/>
        <d v="2025-05-23T11:34:32"/>
        <d v="2025-05-23T11:34:53"/>
        <d v="2025-05-23T11:57:28"/>
        <d v="2025-05-23T11:57:42"/>
        <d v="2025-05-23T12:42:03"/>
        <d v="2025-05-23T12:42:33"/>
        <d v="2025-05-23T13:26:04"/>
        <d v="2025-05-23T14:10:00"/>
        <d v="2025-05-23T15:02:39"/>
        <d v="2025-05-23T15:11:58"/>
        <d v="2025-05-23T15:18:03"/>
        <d v="2025-05-23T15:31:19"/>
        <d v="2025-05-23T15:33:50"/>
        <d v="2025-05-23T15:34:02"/>
        <d v="2025-05-23T16:03:09"/>
        <d v="2025-05-23T16:04:03"/>
        <d v="2025-05-23T16:44:32"/>
        <d v="2025-05-23T16:46:36"/>
        <d v="2025-05-23T16:54:08"/>
        <d v="2025-05-23T17:30:12"/>
        <d v="2025-05-23T17:52:51"/>
        <d v="2025-05-23T17:58:27"/>
        <d v="2025-05-23T18:07:58"/>
        <d v="2025-05-23T18:11:29"/>
        <d v="2025-05-23T18:31:41"/>
        <d v="2025-05-23T18:44:30"/>
        <d v="2025-05-23T18:54:52"/>
        <d v="2025-05-23T18:56:38"/>
        <d v="2025-05-23T19:02:55"/>
        <d v="2025-05-23T19:13:28"/>
        <d v="2025-05-23T19:20:31"/>
        <d v="2025-05-24T00:00:00"/>
        <d v="2025-05-24T08:33:54"/>
        <d v="2025-05-24T08:39:16"/>
        <d v="2025-05-24T08:39:42"/>
        <d v="2025-05-24T08:43:21"/>
        <d v="2025-05-24T08:47:02"/>
        <d v="2025-05-24T08:47:39"/>
        <d v="2025-05-24T08:49:48"/>
        <d v="2025-05-24T08:49:51"/>
        <d v="2025-05-24T08:52:10"/>
        <d v="2025-05-24T08:53:43"/>
        <d v="2025-05-24T08:54:03"/>
        <d v="2025-05-24T08:54:15"/>
        <d v="2025-05-24T08:56:31"/>
        <d v="2025-05-24T08:56:35"/>
        <d v="2025-05-24T08:57:37"/>
        <d v="2025-05-24T08:58:37"/>
        <d v="2025-05-24T09:03:33"/>
        <d v="2025-05-24T09:03:51"/>
        <d v="2025-05-24T09:04:45"/>
        <d v="2025-05-24T09:05:30"/>
        <d v="2025-05-24T09:09:29"/>
        <d v="2025-05-24T09:14:31"/>
        <d v="2025-05-24T09:17:01"/>
        <d v="2025-05-24T09:21:25"/>
        <d v="2025-05-24T09:22:30"/>
        <d v="2025-05-24T09:24:24"/>
        <d v="2025-05-24T09:26:29"/>
        <d v="2025-05-24T09:32:46"/>
        <d v="2025-05-24T09:38:42"/>
        <d v="2025-05-24T09:51:56"/>
        <d v="2025-05-24T10:05:43"/>
        <d v="2025-05-24T10:20:19"/>
        <d v="2025-05-11T00:00:00"/>
      </sharedItems>
    </cacheField>
    <cacheField name="NOMBRE" numFmtId="0">
      <sharedItems/>
    </cacheField>
    <cacheField name="APELLIDO 1" numFmtId="0">
      <sharedItems/>
    </cacheField>
    <cacheField name="APELLIDO 2" numFmtId="0">
      <sharedItems containsBlank="1"/>
    </cacheField>
    <cacheField name="RUT" numFmtId="0">
      <sharedItems containsBlank="1" containsMixedTypes="1" containsNumber="1" containsInteger="1" minValue="11851307" maxValue="263433920"/>
    </cacheField>
    <cacheField name="FECHA DE NACIMIENTO" numFmtId="14">
      <sharedItems containsDate="1" containsBlank="1" containsMixedTypes="1" minDate="1940-01-19T00:00:00" maxDate="2025-12-02T00:00:00"/>
    </cacheField>
    <cacheField name="TELEFONO (+569 XXXXXXXX)" numFmtId="0">
      <sharedItems containsBlank="1" containsMixedTypes="1" containsNumber="1" containsInteger="1" minValue="32378980" maxValue="569976000477"/>
    </cacheField>
    <cacheField name="TIPO DE ASISTENTE" numFmtId="0">
      <sharedItems containsBlank="1" count="8">
        <s v="Liderazgo general ($10.000)"/>
        <s v="Estudiante ($5.000)"/>
        <s v="Liderazgo general ($7.000)"/>
        <s v="Visita ($5.000)"/>
        <s v="Estudiante ($3.500)"/>
        <s v="Estudiante ($3.000)"/>
        <s v="Visita ($3.000)"/>
        <m/>
      </sharedItems>
    </cacheField>
    <cacheField name="ORGANIZACION" numFmtId="0">
      <sharedItems containsBlank="1"/>
    </cacheField>
    <cacheField name="EMAIL" numFmtId="0">
      <sharedItems containsBlank="1"/>
    </cacheField>
    <cacheField name="Pastor de Red" numFmtId="0">
      <sharedItems containsBlank="1"/>
    </cacheField>
    <cacheField name="Pago" numFmtId="0">
      <sharedItems containsDate="1" containsBlank="1" containsMixedTypes="1" minDate="2024-05-23T00:00:00" maxDate="2025-05-27T00:00:00" count="18">
        <s v="Pagado"/>
        <d v="2025-05-11T00:00:00"/>
        <d v="2025-05-19T00:00:00"/>
        <m/>
        <d v="2025-05-24T00:00:00"/>
        <d v="2025-05-18T00:00:00"/>
        <d v="2025-05-20T00:00:00"/>
        <d v="2025-05-17T00:00:00"/>
        <d v="2025-05-21T00:00:00"/>
        <d v="2025-05-22T00:00:00"/>
        <d v="2025-05-23T00:00:00"/>
        <d v="2025-05-14T00:00:00"/>
        <s v="18-05-0205"/>
        <d v="2024-05-23T00:00:00"/>
        <d v="2025-05-26T00:00:00"/>
        <d v="2025-05-09T00:00:00"/>
        <d v="2025-05-05T00:00:00"/>
        <d v="2025-05-16T00:00:00"/>
      </sharedItems>
    </cacheField>
    <cacheField name="Plataforma" numFmtId="0">
      <sharedItems containsBlank="1"/>
    </cacheField>
    <cacheField name="Columna 1" numFmtId="0">
      <sharedItems containsBlank="1" containsMixedTypes="1" containsNumber="1" containsInteger="1" minValue="300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x v="0"/>
    <s v="Valentina"/>
    <s v="Ahumada"/>
    <s v="Lopez"/>
    <s v="18570949-3"/>
    <d v="1994-02-21T00:00:00"/>
    <s v="+56927678190"/>
    <x v="0"/>
    <s v="Catedral de la Alabanza"/>
    <s v="valentina.ahumada22@gmail.com"/>
    <s v="Christian Jara"/>
    <x v="0"/>
    <s v="X"/>
    <m/>
  </r>
  <r>
    <x v="1"/>
    <s v="Judith"/>
    <s v="Mella"/>
    <s v="Fredes"/>
    <s v="16787142-9"/>
    <d v="1987-12-23T00:00:00"/>
    <s v="+56962308727"/>
    <x v="0"/>
    <s v="Catedral de la Alabanza"/>
    <s v="Jm-fredes@hotmail.com"/>
    <s v="Genoveva Navales"/>
    <x v="1"/>
    <s v="NR"/>
    <m/>
  </r>
  <r>
    <x v="2"/>
    <s v="Genoveva "/>
    <s v="Navales"/>
    <s v="Navales"/>
    <s v="7449897-3"/>
    <d v="1956-02-09T00:00:00"/>
    <s v="+56992906989"/>
    <x v="0"/>
    <s v="Catedral de la Alabanza"/>
    <s v="Genoveva.navales@gmail.com"/>
    <s v="Genoveva Navales"/>
    <x v="0"/>
    <s v="NR"/>
    <m/>
  </r>
  <r>
    <x v="3"/>
    <s v="Katherine "/>
    <s v="Poblete"/>
    <s v="Villivar"/>
    <s v="16718620-3"/>
    <d v="1988-01-29T00:00:00"/>
    <s v="+56993834039"/>
    <x v="0"/>
    <s v="Catedral de la Alabanza"/>
    <s v="Katherine.p.v@gmail.com"/>
    <s v="Christian Jara"/>
    <x v="0"/>
    <s v="X"/>
    <m/>
  </r>
  <r>
    <x v="4"/>
    <s v="Judith "/>
    <s v="Espinoza "/>
    <s v="Acevedo"/>
    <s v="10282071-1 "/>
    <d v="1965-07-02T00:00:00"/>
    <s v="+569 957824907"/>
    <x v="0"/>
    <s v="Catedral de la Alabanza"/>
    <s v="juespace@yahoo.com"/>
    <s v="Flor Arcos"/>
    <x v="2"/>
    <s v="X"/>
    <m/>
  </r>
  <r>
    <x v="5"/>
    <s v="Rodrigo "/>
    <s v="Galaz"/>
    <s v="Jerez"/>
    <s v="16265806-9"/>
    <d v="1985-11-06T00:00:00"/>
    <s v="+560966493941"/>
    <x v="0"/>
    <s v="Catedral de la Alabanza"/>
    <s v="rodrigo.galazj@gmail.com"/>
    <s v="Christian Jara"/>
    <x v="3"/>
    <m/>
    <m/>
  </r>
  <r>
    <x v="6"/>
    <s v="Alfredo segundo"/>
    <s v="Villegas"/>
    <s v="Gutierrez"/>
    <s v="4156702-3"/>
    <d v="1940-01-19T00:00:00"/>
    <s v="+56932589927"/>
    <x v="0"/>
    <s v="Catedral de la Alabanza"/>
    <s v="Notiene@gmail.com"/>
    <s v="José Ferrada"/>
    <x v="4"/>
    <m/>
    <m/>
  </r>
  <r>
    <x v="7"/>
    <s v="Martin"/>
    <s v="Alcavil "/>
    <s v="Troncoso "/>
    <s v="22300962k"/>
    <d v="2007-01-08T00:00:00"/>
    <s v="+56987332703"/>
    <x v="1"/>
    <s v="Catedral de la Alabanza"/>
    <s v="Altronmartin8@gmail.com"/>
    <s v="Estudiante"/>
    <x v="0"/>
    <s v="X"/>
    <m/>
  </r>
  <r>
    <x v="8"/>
    <s v="Felipe"/>
    <s v="Jara"/>
    <s v="Oyarce"/>
    <n v="213043056"/>
    <d v="2003-05-21T00:00:00"/>
    <s v="+56957349900"/>
    <x v="1"/>
    <s v="Catedral de la Alabanza"/>
    <s v="felipeignaciojaraoyarce@gmail.com"/>
    <s v="Estudiante"/>
    <x v="0"/>
    <s v="X"/>
    <m/>
  </r>
  <r>
    <x v="9"/>
    <s v="Benjamin"/>
    <s v="Torres"/>
    <s v="Santander "/>
    <s v="22305508-7"/>
    <d v="2007-01-13T00:00:00"/>
    <s v="+56933135291"/>
    <x v="1"/>
    <s v="Catedral de la Alabanza"/>
    <s v="Santanderbenja07@gmail.com"/>
    <s v="Estudiante"/>
    <x v="5"/>
    <s v="NR"/>
    <m/>
  </r>
  <r>
    <x v="10"/>
    <s v="Gustavo"/>
    <s v="Bascuñán"/>
    <s v="Sarmiento"/>
    <n v="212520799"/>
    <d v="2003-03-06T00:00:00"/>
    <s v="+56958914852"/>
    <x v="1"/>
    <s v="Catedral de la Alabanza"/>
    <s v="Gbascunan.sarmiento@gmail.com"/>
    <s v="Estudiante"/>
    <x v="0"/>
    <s v="X"/>
    <m/>
  </r>
  <r>
    <x v="11"/>
    <s v="Myriam luz"/>
    <s v="Cano"/>
    <s v="Cano"/>
    <s v="10399911-1"/>
    <d v="1967-05-03T00:00:00"/>
    <s v="+56978678709"/>
    <x v="2"/>
    <s v="Catedral de la Alabanza"/>
    <s v="Mimicano@gmail.com"/>
    <s v="José Ferrada"/>
    <x v="4"/>
    <m/>
    <m/>
  </r>
  <r>
    <x v="12"/>
    <s v="Viviana"/>
    <s v="Urra"/>
    <s v="Villanueva"/>
    <s v="8795231-2"/>
    <d v="1967-03-08T00:00:00"/>
    <s v="+56994341188"/>
    <x v="2"/>
    <s v="Catedral de la Alabanza"/>
    <s v="Viví.urra@gmail.com"/>
    <s v="José Ferrada"/>
    <x v="4"/>
    <m/>
    <m/>
  </r>
  <r>
    <x v="13"/>
    <s v="Naim"/>
    <s v="Salas"/>
    <s v="Mesias"/>
    <s v="21782234-3"/>
    <d v="2005-02-11T00:00:00"/>
    <s v="+56944233127"/>
    <x v="1"/>
    <s v="Catedral de la Alabanza"/>
    <s v="Naim.salas.m@gmail.com"/>
    <s v="Estudiante"/>
    <x v="5"/>
    <s v="NR"/>
    <m/>
  </r>
  <r>
    <x v="14"/>
    <s v="Fernanda"/>
    <s v="Huidobro"/>
    <s v="González "/>
    <s v="20.955.970-6"/>
    <d v="2002-01-16T00:00:00"/>
    <s v="+56942944859"/>
    <x v="0"/>
    <s v="Catedral de la Alabanza"/>
    <s v="fernandahuidobrog@gmail.com"/>
    <s v="Christian Jara"/>
    <x v="0"/>
    <s v="X"/>
    <m/>
  </r>
  <r>
    <x v="15"/>
    <s v="Felipe"/>
    <s v="Riquelme"/>
    <s v=" "/>
    <s v="20657366-k"/>
    <d v="2001-01-16T00:00:00"/>
    <s v="+569 84694205"/>
    <x v="0"/>
    <s v="Catedral de la Alabanza"/>
    <s v="felipeandres200112@gmail.com"/>
    <s v="Christian Jara"/>
    <x v="0"/>
    <s v="X"/>
    <m/>
  </r>
  <r>
    <x v="16"/>
    <s v="Sandra"/>
    <s v="Fredes"/>
    <s v="Contreras "/>
    <s v="11294062-6"/>
    <d v="1968-03-07T00:00:00"/>
    <s v="+56 9 9075 0303"/>
    <x v="0"/>
    <s v="Catedral de la Alabanza"/>
    <s v="sandrafredes1968@gmail.com"/>
    <s v="Genoveva Navales"/>
    <x v="0"/>
    <s v="X"/>
    <m/>
  </r>
  <r>
    <x v="17"/>
    <s v="CHRISTIAN"/>
    <s v="Jara"/>
    <s v="Anríquez "/>
    <s v="14.450.153-5"/>
    <d v="1972-10-22T00:00:00"/>
    <s v="+56998405588"/>
    <x v="0"/>
    <s v="Catedral de la Alabanza"/>
    <s v="cjaraanriquez@gmail.com"/>
    <s v="Christian Jara"/>
    <x v="0"/>
    <s v="NR"/>
    <m/>
  </r>
  <r>
    <x v="18"/>
    <s v="Cristian "/>
    <s v="Ruiz"/>
    <s v="Cerpa"/>
    <s v="7258219-5"/>
    <d v="1970-10-20T00:00:00"/>
    <s v="+56987751261"/>
    <x v="0"/>
    <s v="Catedral de la Alabanza"/>
    <s v="Cristianruizcerpa@gmail.com"/>
    <s v="Christian Jara"/>
    <x v="2"/>
    <s v="NR"/>
    <m/>
  </r>
  <r>
    <x v="19"/>
    <s v="Karem "/>
    <s v="Aravena"/>
    <s v="Palacios"/>
    <s v="13286467-5"/>
    <d v="1977-05-06T00:00:00"/>
    <s v="+56956592216"/>
    <x v="0"/>
    <s v="Catedral de la Alabanza"/>
    <s v="Karemaravena24@gmail.com"/>
    <s v="Christian Jara"/>
    <x v="6"/>
    <s v="NR"/>
    <m/>
  </r>
  <r>
    <x v="20"/>
    <s v="Monica "/>
    <s v="Aranda "/>
    <s v="Rojas "/>
    <n v="78557338"/>
    <d v="1959-03-01T00:00:00"/>
    <s v="+56993725750"/>
    <x v="0"/>
    <s v="Catedral de la Alabanza"/>
    <s v="Monaranda@gmail.com"/>
    <s v="Juan Manuel Caro"/>
    <x v="0"/>
    <s v="NR"/>
    <m/>
  </r>
  <r>
    <x v="21"/>
    <s v="Maria Helena "/>
    <s v="Silva "/>
    <s v="Rocha "/>
    <s v="000000000"/>
    <d v="1968-07-10T00:00:00"/>
    <s v="+5513996724426"/>
    <x v="0"/>
    <s v="Catedral de la Alabanza"/>
    <s v="Lenarocha10@gmail.com "/>
    <s v="Juan Manuel Caro"/>
    <x v="7"/>
    <s v="NR"/>
    <m/>
  </r>
  <r>
    <x v="22"/>
    <s v="Robinson "/>
    <s v="Mora"/>
    <s v="Vallejos "/>
    <s v="19.569.591-1"/>
    <d v="1996-10-15T00:00:00"/>
    <s v="+56975947466"/>
    <x v="0"/>
    <s v="Catedral de la Alabanza"/>
    <s v="robinsonmoravallejos@gmail.com"/>
    <s v="Christian Jara"/>
    <x v="0"/>
    <s v="X"/>
    <m/>
  </r>
  <r>
    <x v="23"/>
    <s v="Damaris"/>
    <s v="Sepúlveda "/>
    <s v="Ortiz"/>
    <n v="211595698"/>
    <d v="2002-11-06T00:00:00"/>
    <s v="+56982938316"/>
    <x v="1"/>
    <s v="Catedral de la Alabanza"/>
    <s v="damarissepulvedaortiz@gmail.com"/>
    <s v="Flor Arcos"/>
    <x v="0"/>
    <s v="X"/>
    <m/>
  </r>
  <r>
    <x v="24"/>
    <s v="Leonardo"/>
    <s v="Zamora"/>
    <s v="Gonzalez"/>
    <s v="15374787-3"/>
    <d v="1982-12-13T00:00:00"/>
    <n v="973879654"/>
    <x v="0"/>
    <s v="Iglesia invitada"/>
    <s v="zamora.leonardo@gmail.com"/>
    <s v="Catedral Peñaflor"/>
    <x v="0"/>
    <s v="NR"/>
    <m/>
  </r>
  <r>
    <x v="25"/>
    <s v="Catalina "/>
    <s v="Salinas "/>
    <s v="Lagos "/>
    <s v="20707234-6"/>
    <d v="2001-02-09T00:00:00"/>
    <s v="+569 57730983"/>
    <x v="0"/>
    <s v="Catedral de la Alabanza"/>
    <s v="alexandra.salinas767@gmail.com"/>
    <s v="Christian Jara"/>
    <x v="8"/>
    <s v="MC"/>
    <m/>
  </r>
  <r>
    <x v="26"/>
    <s v="Valentina "/>
    <s v="Quezada"/>
    <s v="Quezada"/>
    <s v="21600592-9 "/>
    <d v="2004-06-22T00:00:00"/>
    <s v="+56940727650"/>
    <x v="1"/>
    <s v="Catedral de la Alabanza"/>
    <s v="valequezada1822@gmail.com"/>
    <s v="Estudiante"/>
    <x v="0"/>
    <s v="NR"/>
    <m/>
  </r>
  <r>
    <x v="27"/>
    <s v="Marcelo Alonso"/>
    <s v="Valdés "/>
    <s v="Avila"/>
    <s v="10377053-K "/>
    <d v="1965-06-02T00:00:00"/>
    <n v="993099370"/>
    <x v="0"/>
    <s v="Catedral de la Alabanza"/>
    <s v="MARCELO.ALONSO.VALDES@GMAIL.COM"/>
    <s v="Flor Arcos"/>
    <x v="0"/>
    <s v="X"/>
    <m/>
  </r>
  <r>
    <x v="28"/>
    <s v="Cheryl Andrea"/>
    <s v="Calderón "/>
    <s v="Garrido"/>
    <s v="13487126-1"/>
    <d v="1978-04-21T00:00:00"/>
    <n v="996306118"/>
    <x v="0"/>
    <s v="Catedral de la Alabanza"/>
    <s v="cheryl.calderon@bicehipotecaria.cl"/>
    <s v="Flor Arcos"/>
    <x v="0"/>
    <s v="X"/>
    <m/>
  </r>
  <r>
    <x v="29"/>
    <s v="Erika Alejandra"/>
    <s v="Marín"/>
    <s v="Rivera"/>
    <s v="13476794-4"/>
    <d v="1978-03-14T00:00:00"/>
    <n v="9944504623"/>
    <x v="3"/>
    <s v="Catedral de la Alabanza"/>
    <s v="cheryl.calderon@bicehipotecaria.cl"/>
    <s v="Visita"/>
    <x v="0"/>
    <s v="X"/>
    <m/>
  </r>
  <r>
    <x v="30"/>
    <s v="Paola "/>
    <s v="Gonzalez"/>
    <s v="Montes de oca"/>
    <s v="13.476.970-k"/>
    <d v="1978-03-07T00:00:00"/>
    <s v="+56982930224"/>
    <x v="0"/>
    <s v="Catedral de la Alabanza"/>
    <s v="apsmontesdeoca@yahoo.es"/>
    <s v="Chistian Jara"/>
    <x v="4"/>
    <m/>
    <m/>
  </r>
  <r>
    <x v="31"/>
    <s v="Belén"/>
    <s v="Guerra"/>
    <s v="González"/>
    <s v="18635868-6"/>
    <d v="1993-10-15T00:00:00"/>
    <s v="+56995834004"/>
    <x v="0"/>
    <s v="Catedral de la Alabanza"/>
    <s v="belen.guerra@helepsicologia.cl"/>
    <s v="Chistian Jara"/>
    <x v="0"/>
    <s v="X"/>
    <m/>
  </r>
  <r>
    <x v="32"/>
    <s v="Sergio"/>
    <s v="Fuentes"/>
    <s v="Guzman"/>
    <s v="13884345-9"/>
    <d v="1979-12-27T00:00:00"/>
    <s v="+56958212247"/>
    <x v="3"/>
    <s v="Iglesia invitada"/>
    <s v="sergio.fuentesguzman@gmail.com"/>
    <s v="Luminares"/>
    <x v="4"/>
    <m/>
    <m/>
  </r>
  <r>
    <x v="33"/>
    <s v="Yasna "/>
    <s v="Carvajal "/>
    <s v="Vargas "/>
    <s v="16266628-2 "/>
    <d v="1985-11-23T00:00:00"/>
    <s v="+56978639328"/>
    <x v="0"/>
    <s v="Catedral de la Alabanza"/>
    <s v="Ycarvajalv@gmail.com"/>
    <s v="Genoveva Navales"/>
    <x v="0"/>
    <s v="X"/>
    <m/>
  </r>
  <r>
    <x v="34"/>
    <s v="Madeline "/>
    <s v="Fuentes "/>
    <s v="Vasquez "/>
    <s v="21.094.574-1"/>
    <d v="2002-08-14T00:00:00"/>
    <n v="77575476"/>
    <x v="1"/>
    <s v="Iglesia invitada"/>
    <s v="Madeline.cfv@gmail.com"/>
    <s v="Luminares"/>
    <x v="7"/>
    <s v="NR"/>
    <m/>
  </r>
  <r>
    <x v="35"/>
    <s v="Veronica "/>
    <s v="Santander"/>
    <s v="Campos"/>
    <s v="13.662.832-1"/>
    <d v="1979-10-03T00:00:00"/>
    <s v="+56963461249"/>
    <x v="0"/>
    <s v="Catedral de la Alabanza"/>
    <s v="Santanderv310@gmail.com"/>
    <s v="Christian Jara"/>
    <x v="8"/>
    <s v="MC"/>
    <m/>
  </r>
  <r>
    <x v="36"/>
    <s v="Jacob "/>
    <s v="Madrid "/>
    <s v="Zambrano"/>
    <s v="18139966k"/>
    <d v="1992-01-26T00:00:00"/>
    <s v="+569 96177592"/>
    <x v="0"/>
    <s v="Catedral de la Alabanza"/>
    <s v="Jacobmadrid.ing@gmail.com"/>
    <s v="Christian Jara"/>
    <x v="0"/>
    <s v="NR"/>
    <m/>
  </r>
  <r>
    <x v="37"/>
    <s v="Lidia "/>
    <s v="Orozco"/>
    <s v="Reyes"/>
    <s v="13897934-2"/>
    <d v="1980-06-10T00:00:00"/>
    <s v="±569 94505975"/>
    <x v="0"/>
    <s v="Catedral de la Alabanza"/>
    <s v="lidi.orozco@gmail.com"/>
    <s v="Christian Jara"/>
    <x v="0"/>
    <s v="X"/>
    <m/>
  </r>
  <r>
    <x v="38"/>
    <s v="simon"/>
    <s v="caroca"/>
    <s v="Gonzalez"/>
    <s v="22611037-2"/>
    <d v="2008-01-14T00:00:00"/>
    <n v="32659194"/>
    <x v="1"/>
    <s v="Catedral de la Alabanza"/>
    <s v="simoncaroca224@gmail.com"/>
    <s v="Estudiante"/>
    <x v="0"/>
    <s v="X"/>
    <m/>
  </r>
  <r>
    <x v="39"/>
    <s v="Giselle "/>
    <s v="Vargas"/>
    <s v="Díaz "/>
    <s v="204533777-6"/>
    <d v="2000-06-21T00:00:00"/>
    <s v="+56977895410"/>
    <x v="1"/>
    <s v="Catedral de la Alabanza"/>
    <s v="gisellevargasdiaz1@gmail.com"/>
    <s v="Estudiante"/>
    <x v="0"/>
    <s v="NR"/>
    <m/>
  </r>
  <r>
    <x v="40"/>
    <s v="Denisse Romina "/>
    <s v="Vargas"/>
    <s v="Díaz "/>
    <s v="21395207-2"/>
    <d v="2003-09-23T00:00:00"/>
    <s v="+569 67187069"/>
    <x v="1"/>
    <s v="Catedral de la Alabanza"/>
    <s v="vdenisse343@gmail.com"/>
    <s v="Estudiante"/>
    <x v="0"/>
    <s v="NR"/>
    <m/>
  </r>
  <r>
    <x v="41"/>
    <s v="Cristopher"/>
    <s v="SANDOVAL"/>
    <s v="Lopez"/>
    <s v="23027468-1"/>
    <d v="2009-05-25T00:00:00"/>
    <n v="95156349"/>
    <x v="1"/>
    <s v="Catedral de la Alabanza"/>
    <s v="cris.sandovalopez@gmail.com"/>
    <s v="Estudiante"/>
    <x v="0"/>
    <s v="X"/>
    <m/>
  </r>
  <r>
    <x v="42"/>
    <s v="Claudia"/>
    <s v="Roa"/>
    <s v="Zurita "/>
    <n v="163219212"/>
    <d v="1986-04-03T00:00:00"/>
    <s v="±56978894183"/>
    <x v="0"/>
    <s v="Catedral de la Alabanza"/>
    <s v="Claudia.roa.zurita@gmail.com"/>
    <s v="Christian Jara"/>
    <x v="2"/>
    <s v="NR"/>
    <m/>
  </r>
  <r>
    <x v="43"/>
    <s v="Damariz Nathalia"/>
    <s v="Palma"/>
    <s v="Marivil"/>
    <s v="21644936-3"/>
    <d v="2004-08-24T00:00:00"/>
    <n v="975946977"/>
    <x v="1"/>
    <s v="Catedral de la Alabanza"/>
    <s v="Damariznathalia2129@gmail.com"/>
    <s v="Estudiante"/>
    <x v="3"/>
    <m/>
    <m/>
  </r>
  <r>
    <x v="44"/>
    <s v="Paola elizabeth "/>
    <s v="Villa"/>
    <s v="Carrillo "/>
    <s v="12495179-8 "/>
    <d v="1973-09-18T00:00:00"/>
    <n v="65648165"/>
    <x v="1"/>
    <s v="Catedral de la Alabanza"/>
    <s v="Paolavillacarrillo@gmail.com "/>
    <s v="Christian Jara"/>
    <x v="3"/>
    <m/>
    <m/>
  </r>
  <r>
    <x v="45"/>
    <s v="Catherine "/>
    <s v="Quezada"/>
    <s v="Catalán "/>
    <s v="12459577-0"/>
    <d v="1973-03-10T00:00:00"/>
    <s v="+56977411324"/>
    <x v="0"/>
    <s v="Catedral de la Alabanza"/>
    <s v="catherine.quezada2015@gmail.com"/>
    <s v="Christian Jara"/>
    <x v="7"/>
    <s v="NR"/>
    <m/>
  </r>
  <r>
    <x v="46"/>
    <s v="Alejandro"/>
    <s v="Munita"/>
    <s v="Cano"/>
    <s v="13684282-K"/>
    <d v="1979-10-30T00:00:00"/>
    <s v="+56991593576"/>
    <x v="0"/>
    <s v="Catedral de la Alabanza"/>
    <s v="alejandro.munita@gmail.com"/>
    <s v="Christian Jara"/>
    <x v="4"/>
    <m/>
    <m/>
  </r>
  <r>
    <x v="47"/>
    <s v="Daniela"/>
    <s v="Escobar"/>
    <s v="Lazo"/>
    <s v="16095698-4"/>
    <d v="1985-04-10T00:00:00"/>
    <s v="+56981361669"/>
    <x v="0"/>
    <s v="Catedral de la Alabanza"/>
    <s v="nuevadaniela@gmail.com"/>
    <s v="Christian Jara"/>
    <x v="4"/>
    <m/>
    <m/>
  </r>
  <r>
    <x v="48"/>
    <s v="Eloisa"/>
    <s v="Munita"/>
    <s v="Escobar"/>
    <s v="2330724-6"/>
    <d v="2020-05-21T00:00:00"/>
    <s v="+56991593576"/>
    <x v="1"/>
    <s v="Catedral de la Alabanza"/>
    <s v="alejandro.munita@gmail.com"/>
    <s v="Estudiante"/>
    <x v="3"/>
    <m/>
    <m/>
  </r>
  <r>
    <x v="49"/>
    <s v="Amanda"/>
    <s v="Munita"/>
    <s v="Escobar"/>
    <s v="23667953-5"/>
    <d v="2011-06-10T00:00:00"/>
    <s v="+56991593576"/>
    <x v="1"/>
    <s v="Catedral de la Alabanza"/>
    <s v="alejandro.munita@gmail.com"/>
    <s v="Estudiante"/>
    <x v="3"/>
    <m/>
    <m/>
  </r>
  <r>
    <x v="50"/>
    <s v="Victoria "/>
    <s v="Soto"/>
    <s v="Romero"/>
    <s v="21350438k"/>
    <d v="2003-07-25T00:00:00"/>
    <n v="996767464"/>
    <x v="0"/>
    <s v="Catedral de la Alabanza"/>
    <s v="Vicky.sr29@gmail.com"/>
    <s v="Chistian Jara"/>
    <x v="0"/>
    <s v="MT"/>
    <m/>
  </r>
  <r>
    <x v="51"/>
    <s v="Yasmin"/>
    <s v="Mesias"/>
    <s v="Jara "/>
    <n v="128746048"/>
    <d v="1974-12-09T00:00:00"/>
    <s v="+56973068438"/>
    <x v="0"/>
    <s v="Catedral de la Alabanza"/>
    <s v="yasminmesias@hotmail.com"/>
    <s v="Christian Jara"/>
    <x v="5"/>
    <s v="MT"/>
    <m/>
  </r>
  <r>
    <x v="52"/>
    <s v="Cristian "/>
    <s v="Vasquez "/>
    <s v="Gonzalez"/>
    <s v="13312134-K"/>
    <d v="1977-11-11T00:00:00"/>
    <s v="+56950140195"/>
    <x v="0"/>
    <s v="Luminares en el Mundo "/>
    <s v="cvasquezg77@gmail.com"/>
    <s v="Luminares"/>
    <x v="4"/>
    <m/>
    <m/>
  </r>
  <r>
    <x v="53"/>
    <s v="KAREN "/>
    <s v="RODRIGUEZ "/>
    <s v="MARTINEZ"/>
    <s v="15437933-9"/>
    <d v="1982-04-11T00:00:00"/>
    <s v="+56953438617"/>
    <x v="0"/>
    <s v="LUMINARES EN EL MUNDO"/>
    <s v="cvasquezg77@gmail.com"/>
    <s v="Luminares"/>
    <x v="4"/>
    <m/>
    <m/>
  </r>
  <r>
    <x v="54"/>
    <s v="Fernanda "/>
    <s v="Vasquez "/>
    <s v="Rodriguez"/>
    <s v="22171581-0"/>
    <d v="2006-07-23T00:00:00"/>
    <s v="+56 9 32194765"/>
    <x v="1"/>
    <s v="LUMINARES EN EL MUNDO"/>
    <s v="cvasquezg77@gmail.com"/>
    <s v="Luminares"/>
    <x v="4"/>
    <m/>
    <m/>
  </r>
  <r>
    <x v="55"/>
    <s v="Jessica"/>
    <s v="Sanchez"/>
    <s v="San martin"/>
    <s v="11973646-3"/>
    <d v="1972-03-28T00:00:00"/>
    <s v="+56950198921"/>
    <x v="0"/>
    <s v="Catedral de la Alabanza"/>
    <s v="jessica.ssm28@hotmail.com"/>
    <s v="Christian Jara"/>
    <x v="0"/>
    <s v="MT"/>
    <m/>
  </r>
  <r>
    <x v="56"/>
    <s v="Miriam "/>
    <s v="Gonzalez "/>
    <s v="Moya"/>
    <s v="10716676-9"/>
    <d v="1966-12-31T00:00:00"/>
    <s v="+569 48614418"/>
    <x v="0"/>
    <s v="Catedral de la Alabanza"/>
    <s v="sernageomin1@gmail.com"/>
    <s v="Christian Jara"/>
    <x v="0"/>
    <s v="MT"/>
    <m/>
  </r>
  <r>
    <x v="57"/>
    <s v="Cristopher "/>
    <s v="Diaz"/>
    <s v="Aguilera"/>
    <n v="188436021"/>
    <d v="1994-05-22T00:00:00"/>
    <n v="932047686"/>
    <x v="1"/>
    <s v="Catedral de la Alabanza"/>
    <s v="diazcristopher985@gmail.com"/>
    <s v="Estudiante"/>
    <x v="3"/>
    <m/>
    <m/>
  </r>
  <r>
    <x v="58"/>
    <s v="ailen "/>
    <s v="guanca "/>
    <s v="mora"/>
    <n v="206459484"/>
    <d v="2000-12-10T00:00:00"/>
    <n v="988131933"/>
    <x v="1"/>
    <s v="Catedral de la Alabanza"/>
    <s v="guancaailen@gmail.com"/>
    <s v="Estudiante"/>
    <x v="3"/>
    <m/>
    <m/>
  </r>
  <r>
    <x v="59"/>
    <s v="Camila "/>
    <s v="Julio "/>
    <s v="Encina "/>
    <n v="192447615"/>
    <d v="1995-07-11T00:00:00"/>
    <s v="+569 61848326 "/>
    <x v="0"/>
    <s v="Catedral de la Alabanza"/>
    <s v="Camilajulioencina@gmail.com "/>
    <s v="Chistian Jara"/>
    <x v="4"/>
    <m/>
    <n v="10000"/>
  </r>
  <r>
    <x v="60"/>
    <s v="Paola "/>
    <s v="Ferrada"/>
    <s v="Arcos "/>
    <n v="106717575"/>
    <d v="1972-04-25T00:00:00"/>
    <s v="+569 96896595"/>
    <x v="0"/>
    <s v="Catedral de la Alabanza"/>
    <s v="ferrada.arcos@gmail.com"/>
    <s v="Flor Arcos"/>
    <x v="0"/>
    <s v="MT"/>
    <m/>
  </r>
  <r>
    <x v="61"/>
    <s v="Denisse Macarena "/>
    <s v="Badilla "/>
    <s v="Tiznado"/>
    <s v="17.422.789-6"/>
    <d v="1990-09-07T00:00:00"/>
    <n v="953599033"/>
    <x v="0"/>
    <s v="Catedral de la Alabanza"/>
    <s v="denissebadillat@gmail.com"/>
    <s v="Chistian Jara"/>
    <x v="9"/>
    <s v="MC"/>
    <m/>
  </r>
  <r>
    <x v="62"/>
    <s v="Margarita "/>
    <s v="Vásquez "/>
    <s v="González "/>
    <s v="13.897.045-0"/>
    <d v="1980-04-04T00:00:00"/>
    <s v="+56986971653"/>
    <x v="3"/>
    <s v="Iglesia invitada"/>
    <s v="margarita.vasquezgonzalez@gmail.com"/>
    <s v="Luminares"/>
    <x v="4"/>
    <m/>
    <m/>
  </r>
  <r>
    <x v="63"/>
    <s v="Jaime "/>
    <s v="Diocares"/>
    <s v="Guiñez"/>
    <s v="10323536-7"/>
    <d v="2025-08-02T00:00:00"/>
    <n v="984777850"/>
    <x v="0"/>
    <s v="Catedral de la Alabanza"/>
    <s v="Jjdiogui@gmail.com"/>
    <s v="Genoveva Navales"/>
    <x v="3"/>
    <m/>
    <m/>
  </r>
  <r>
    <x v="64"/>
    <s v="Elizabeth lissette"/>
    <s v="Mariangel  "/>
    <s v="  martinez"/>
    <n v="174221642"/>
    <d v="1990-08-22T00:00:00"/>
    <n v="952268752"/>
    <x v="0"/>
    <s v="Catedral de la Alabanza"/>
    <s v="emariangel.martinez@gmail.com"/>
    <s v="Genoveva Navales"/>
    <x v="0"/>
    <s v="MT"/>
    <m/>
  </r>
  <r>
    <x v="65"/>
    <s v="Renato "/>
    <s v="Ferrada"/>
    <s v="González"/>
    <n v="234829319"/>
    <d v="2010-11-20T00:00:00"/>
    <n v="75231393"/>
    <x v="1"/>
    <s v="Catedral de la Alabanza"/>
    <s v="renatoferradag.wushu@gmail.com"/>
    <s v="Estudiante"/>
    <x v="3"/>
    <m/>
    <m/>
  </r>
  <r>
    <x v="66"/>
    <s v="Maria jose "/>
    <s v="Silva "/>
    <s v="Urra "/>
    <s v="20835704-2 "/>
    <d v="2001-09-04T00:00:00"/>
    <s v="+56993771775"/>
    <x v="4"/>
    <s v="Catedral de la Alabanza"/>
    <s v="Urrasilvamaria@gmail.com"/>
    <s v="Estudiante"/>
    <x v="4"/>
    <s v="MT"/>
    <m/>
  </r>
  <r>
    <x v="67"/>
    <s v="Carlos"/>
    <s v="Calderón"/>
    <s v="Olivares"/>
    <n v="143845729"/>
    <d v="1971-09-04T00:00:00"/>
    <n v="956189351"/>
    <x v="0"/>
    <s v="Catedral de la Alabanza"/>
    <s v="carlos.calderon.o@gmail.com"/>
    <s v="Christian Jara"/>
    <x v="0"/>
    <s v="MT"/>
    <m/>
  </r>
  <r>
    <x v="68"/>
    <s v="Johanna "/>
    <s v="Jara "/>
    <s v="Anriquez"/>
    <n v="125253792"/>
    <d v="1973-10-20T00:00:00"/>
    <n v="986728936"/>
    <x v="0"/>
    <s v="Catedral de la Alabanza"/>
    <s v="Johanna.jara@gmail.com"/>
    <s v="Christian Jara"/>
    <x v="0"/>
    <s v="MT"/>
    <m/>
  </r>
  <r>
    <x v="69"/>
    <s v="Paulina"/>
    <s v="Arriagada"/>
    <s v="Lopez"/>
    <n v="154389407"/>
    <d v="1982-04-21T00:00:00"/>
    <s v="+56934300775"/>
    <x v="0"/>
    <s v="Catedral de la Alabanza"/>
    <s v="paulinaximena@gmail.com"/>
    <s v="Christian Jara"/>
    <x v="0"/>
    <s v="MT"/>
    <m/>
  </r>
  <r>
    <x v="70"/>
    <s v="Angelita"/>
    <s v="Lagos"/>
    <s v="Suzarte"/>
    <s v="11852713-5"/>
    <d v="1971-11-09T00:00:00"/>
    <s v="+569 42885145"/>
    <x v="0"/>
    <s v="Catedral de la Alabanza"/>
    <s v="angelita.lagos@gmail.com"/>
    <s v="Genoveva Navales"/>
    <x v="9"/>
    <s v="MC"/>
    <m/>
  </r>
  <r>
    <x v="71"/>
    <s v="Juan Carlos"/>
    <s v="Salinas"/>
    <s v="Henriquez"/>
    <s v="11350058-1"/>
    <d v="1967-03-17T00:00:00"/>
    <s v="+569 75315318"/>
    <x v="0"/>
    <s v="Catedral de la Alabanza"/>
    <s v="jc767salinas@gmail.com"/>
    <s v="Genoveva Navales"/>
    <x v="9"/>
    <s v="MC"/>
    <m/>
  </r>
  <r>
    <x v="72"/>
    <s v="Cecilia"/>
    <s v="Cisternas "/>
    <s v="Ramirez"/>
    <s v="8700225-k "/>
    <d v="1959-11-22T00:00:00"/>
    <n v="974519020"/>
    <x v="0"/>
    <s v="Catedral de la Alabanza"/>
    <s v="Cecycisternas59@gmail.com "/>
    <s v="Genoveva Navales"/>
    <x v="4"/>
    <m/>
    <m/>
  </r>
  <r>
    <x v="73"/>
    <s v="Macarena"/>
    <s v="Castro"/>
    <s v="Machuca"/>
    <s v="19792720-8"/>
    <d v="1997-12-10T00:00:00"/>
    <s v="+56988688669"/>
    <x v="0"/>
    <s v="Catedral de la Alabanza"/>
    <s v="Castro.macarencl@gmail.com"/>
    <s v="Christian Jara"/>
    <x v="3"/>
    <m/>
    <m/>
  </r>
  <r>
    <x v="74"/>
    <s v="Benjamin "/>
    <s v="Fuentes "/>
    <s v="Vásquez "/>
    <s v="21925118-1"/>
    <d v="2005-09-04T00:00:00"/>
    <s v="+56 9 2846 2673"/>
    <x v="5"/>
    <s v="Iglesia invitada"/>
    <s v="benjaminisrael.fv@gmail.com"/>
    <s v="Otra Iglesia"/>
    <x v="4"/>
    <m/>
    <m/>
  </r>
  <r>
    <x v="75"/>
    <s v="Vicente"/>
    <s v="Bustos"/>
    <s v="Inostroza "/>
    <s v="22.754.349-3"/>
    <d v="2006-02-01T00:00:00"/>
    <s v="+56953801420"/>
    <x v="1"/>
    <s v="Catedral de la Alabanza"/>
    <s v="bustosvicente06@gmail.com"/>
    <s v="Estudiante"/>
    <x v="0"/>
    <s v="MT"/>
    <m/>
  </r>
  <r>
    <x v="76"/>
    <s v="Catalina "/>
    <s v="Jara"/>
    <s v="Ferrada"/>
    <s v="21.577.115-6"/>
    <d v="2004-05-18T00:00:00"/>
    <s v="+56946784360"/>
    <x v="1"/>
    <s v="Catedral de la Alabanza"/>
    <s v="catalinabril.cj@gmail.com"/>
    <s v="Estudiante"/>
    <x v="0"/>
    <s v="MT"/>
    <m/>
  </r>
  <r>
    <x v="77"/>
    <s v="Ema "/>
    <s v="Jara"/>
    <s v="Anríquez "/>
    <s v="23.157.823-4"/>
    <d v="2009-10-20T00:00:00"/>
    <s v="+56930015605"/>
    <x v="1"/>
    <s v="Catedral de la Alabanza"/>
    <s v="emabpbk@gmail.com"/>
    <s v="Estudiante"/>
    <x v="0"/>
    <s v="MT"/>
    <m/>
  </r>
  <r>
    <x v="78"/>
    <s v="Eliseo "/>
    <s v="Vasquez"/>
    <s v="Gonzalez "/>
    <s v="17850922-5"/>
    <d v="1991-04-24T00:00:00"/>
    <n v="962760147"/>
    <x v="0"/>
    <s v="Iglesia invitada"/>
    <s v="eliseo.vasquez24@gmail.com"/>
    <s v="Luminares"/>
    <x v="3"/>
    <m/>
    <m/>
  </r>
  <r>
    <x v="79"/>
    <s v="Juan Carlos "/>
    <s v="Alfaro "/>
    <s v="Canales "/>
    <s v="13283900-k"/>
    <d v="1976-04-19T00:00:00"/>
    <s v="+56965244914"/>
    <x v="3"/>
    <s v="Catedral de la Alabanza"/>
    <s v="Alfarocanalesjuan@gmail.com"/>
    <s v="Otra Iglesia"/>
    <x v="0"/>
    <s v="MT"/>
    <m/>
  </r>
  <r>
    <x v="80"/>
    <s v="Bastian"/>
    <s v="Alfaro"/>
    <s v="Venegas"/>
    <s v="21.675.447-6"/>
    <d v="2004-10-04T00:00:00"/>
    <n v="972630982"/>
    <x v="1"/>
    <s v="Iglesia invitada"/>
    <s v="basti098alfaro@gmail.com"/>
    <s v="Otra Iglesia"/>
    <x v="0"/>
    <s v="MT"/>
    <m/>
  </r>
  <r>
    <x v="81"/>
    <s v="Ivan"/>
    <s v="Santos"/>
    <s v="Santos"/>
    <s v="16954136-1"/>
    <d v="1988-10-31T00:00:00"/>
    <n v="942803506"/>
    <x v="0"/>
    <s v="Catedral de la Alabanza"/>
    <s v="Santos.ivan.andres@gmail.com"/>
    <s v="NN"/>
    <x v="10"/>
    <s v="FS"/>
    <m/>
  </r>
  <r>
    <x v="82"/>
    <s v="Sergio"/>
    <s v="Araya"/>
    <s v="Contreras"/>
    <n v="124113660"/>
    <d v="1973-12-21T00:00:00"/>
    <s v="+56990005577"/>
    <x v="0"/>
    <s v="Pastores amigos invitados "/>
    <s v="sergio@enelatrio.cl"/>
    <s v="Otra Iglesia"/>
    <x v="7"/>
    <s v="MT"/>
    <m/>
  </r>
  <r>
    <x v="83"/>
    <s v="Tirsa"/>
    <s v="Moya"/>
    <s v="Carrasco"/>
    <s v="12485878k"/>
    <d v="1973-12-15T00:00:00"/>
    <s v="+56990005577"/>
    <x v="0"/>
    <s v="Pastores amigos invitados "/>
    <s v="sergio@enelatrio.cl"/>
    <s v="Otra Iglesia"/>
    <x v="7"/>
    <s v="MT"/>
    <m/>
  </r>
  <r>
    <x v="84"/>
    <s v="Matias "/>
    <s v="Torres "/>
    <s v="Santander "/>
    <s v="21312436-6 "/>
    <d v="2003-06-10T00:00:00"/>
    <s v="+56972817377"/>
    <x v="1"/>
    <s v="Catedral de la Alabanza"/>
    <s v="Matitorressantander@gmail.com"/>
    <s v="Christian Jara"/>
    <x v="5"/>
    <s v="MT"/>
    <m/>
  </r>
  <r>
    <x v="85"/>
    <s v="Jorge "/>
    <s v="Miño"/>
    <s v="Carcamo"/>
    <n v="136772058"/>
    <d v="1979-12-03T00:00:00"/>
    <n v="61797201"/>
    <x v="3"/>
    <s v="Iglesia invitada"/>
    <s v="Jorgemino51@gmail.com"/>
    <s v="Otra Iglesia"/>
    <x v="4"/>
    <m/>
    <m/>
  </r>
  <r>
    <x v="86"/>
    <s v="Luz marina "/>
    <s v="Sepulveda "/>
    <s v="Seguel"/>
    <n v="120714899"/>
    <d v="1968-03-31T00:00:00"/>
    <n v="95797725"/>
    <x v="3"/>
    <s v="Iglesia invitada"/>
    <s v="Jorgemino51@gmail.com"/>
    <s v="Otra Iglesia"/>
    <x v="4"/>
    <m/>
    <m/>
  </r>
  <r>
    <x v="87"/>
    <s v="Karla "/>
    <s v="Hidalgo "/>
    <s v="López "/>
    <n v="262406040"/>
    <d v="1993-12-07T00:00:00"/>
    <n v="941608990"/>
    <x v="3"/>
    <s v="Belén Guerra "/>
    <s v="Karlaghidalgo@gmail.com"/>
    <s v="Visita"/>
    <x v="3"/>
    <m/>
    <m/>
  </r>
  <r>
    <x v="88"/>
    <s v="Zonnis "/>
    <s v="León "/>
    <s v="Vespa "/>
    <n v="263433920"/>
    <d v="1989-10-10T00:00:00"/>
    <n v="941608990"/>
    <x v="3"/>
    <s v="Belén Guerra "/>
    <s v="Karlaghidalgo@gmail.com"/>
    <s v="Visita"/>
    <x v="3"/>
    <m/>
    <m/>
  </r>
  <r>
    <x v="89"/>
    <s v="Alonso"/>
    <s v="Palma"/>
    <s v="Perez"/>
    <s v="22632942-0"/>
    <d v="2008-01-30T00:00:00"/>
    <n v="87367227"/>
    <x v="1"/>
    <s v="Catedral de la Alabanza"/>
    <s v="Palmaalonso97@gmail.com"/>
    <s v="Estudiante"/>
    <x v="7"/>
    <s v="MT"/>
    <m/>
  </r>
  <r>
    <x v="90"/>
    <s v="Tamara"/>
    <s v="Guerra"/>
    <s v="González"/>
    <s v="19252400-8"/>
    <d v="1995-11-04T00:00:00"/>
    <s v="+56984285923"/>
    <x v="0"/>
    <s v="Catedral de la Alabanza"/>
    <s v="Tamyguerra7@gmail.com"/>
    <s v="Christian Jara"/>
    <x v="0"/>
    <s v="MT"/>
    <m/>
  </r>
  <r>
    <x v="91"/>
    <s v="Alejandro "/>
    <s v="Farfán "/>
    <s v="Moya"/>
    <n v="94729130"/>
    <d v="1962-07-07T00:00:00"/>
    <s v="+569 93565555"/>
    <x v="0"/>
    <s v="Catedral de la Alabanza"/>
    <s v="ale.farfan1@gmail.com"/>
    <s v="Genoveva Navales"/>
    <x v="7"/>
    <s v="MT"/>
    <m/>
  </r>
  <r>
    <x v="92"/>
    <s v="Samuel "/>
    <s v="Herrera"/>
    <s v="Huerta"/>
    <s v="19227359-5"/>
    <d v="1995-11-23T00:00:00"/>
    <n v="59036884"/>
    <x v="3"/>
    <s v="Iglesia invitada"/>
    <s v="Herrera.Esteban.H@gmail.com"/>
    <s v="Iglesia Luminares"/>
    <x v="0"/>
    <s v="MT"/>
    <s v="OK pago"/>
  </r>
  <r>
    <x v="93"/>
    <s v="Esteban"/>
    <s v="Labra"/>
    <s v="Urra"/>
    <s v="20119617-5"/>
    <d v="1999-01-12T00:00:00"/>
    <s v="+56976897164"/>
    <x v="0"/>
    <s v="Catedral de la Alabanza"/>
    <s v="eslabra@alumnos.uai.cl"/>
    <s v="Christian Jara"/>
    <x v="0"/>
    <s v="NR"/>
    <m/>
  </r>
  <r>
    <x v="94"/>
    <s v="Flor"/>
    <s v="Arcos"/>
    <s v="."/>
    <s v="6.697.276-3"/>
    <d v="1958-05-18T00:00:00"/>
    <s v="56 9 6810 3062"/>
    <x v="0"/>
    <s v="Catedral de la Alabanza"/>
    <s v="Flor.arcos18@gmail.com"/>
    <s v="Flor Arcos"/>
    <x v="0"/>
    <s v="MT"/>
    <m/>
  </r>
  <r>
    <x v="95"/>
    <s v="Javiera"/>
    <s v="Henriquez"/>
    <s v="Burgos"/>
    <n v="179201348"/>
    <d v="1991-10-04T00:00:00"/>
    <n v="938684671"/>
    <x v="0"/>
    <s v="Catedral de la Alabanza"/>
    <s v="javierahenriquez41@gmail.com"/>
    <s v="Christian Jara"/>
    <x v="5"/>
    <s v="FS"/>
    <m/>
  </r>
  <r>
    <x v="96"/>
    <s v="Juan Manuel"/>
    <s v="Caro"/>
    <s v="Hidalgo "/>
    <n v="141666207"/>
    <d v="1981-03-31T00:00:00"/>
    <s v="+56958586286"/>
    <x v="0"/>
    <s v="Catedral de la Alabanza"/>
    <s v="juan.manuel.caro.h@gmail.com"/>
    <s v="Juan Manuel Caro"/>
    <x v="8"/>
    <s v="FS"/>
    <m/>
  </r>
  <r>
    <x v="97"/>
    <s v="Pamela "/>
    <s v="Saavedra"/>
    <s v="Riveros "/>
    <n v="159709647"/>
    <d v="1985-01-23T00:00:00"/>
    <s v="+56964086130"/>
    <x v="0"/>
    <s v="Catedral de la Alabanza"/>
    <s v="pam._saa@hotmail.com"/>
    <s v="Juan Manuel Caro"/>
    <x v="8"/>
    <s v="MC"/>
    <m/>
  </r>
  <r>
    <x v="98"/>
    <s v="Francisco "/>
    <s v="Caro"/>
    <s v="Saavedra "/>
    <n v="226474897"/>
    <d v="2008-02-19T00:00:00"/>
    <s v="+56977613580"/>
    <x v="1"/>
    <s v="Catedral de la Alabanza"/>
    <s v="Carofrancisco217@gmail.com"/>
    <s v="Estudiante"/>
    <x v="5"/>
    <s v="MT"/>
    <m/>
  </r>
  <r>
    <x v="99"/>
    <s v="Noemí"/>
    <s v="Caro"/>
    <s v="Saavedra"/>
    <s v="21117820-5 "/>
    <d v="2002-09-15T00:00:00"/>
    <s v="+56974458186"/>
    <x v="1"/>
    <s v="Catedral de la Alabanza"/>
    <s v="noemicaros@uc.cl"/>
    <s v="Christian Jara"/>
    <x v="5"/>
    <s v="Ok"/>
    <m/>
  </r>
  <r>
    <x v="100"/>
    <s v="Magdalena"/>
    <s v="Torres"/>
    <s v="Rivera"/>
    <s v="19113009K"/>
    <d v="1995-12-04T00:00:00"/>
    <s v="+569 82356597"/>
    <x v="0"/>
    <s v="Catedral de la Alabanza"/>
    <s v="magdalena.a.torresr@gmail.com"/>
    <s v="Chistian Jara"/>
    <x v="11"/>
    <s v="MT"/>
    <m/>
  </r>
  <r>
    <x v="101"/>
    <s v="Blanca"/>
    <s v="Bascuñan"/>
    <s v="Pérez "/>
    <s v="12504662-2"/>
    <d v="1973-10-08T00:00:00"/>
    <s v="+56992894247"/>
    <x v="0"/>
    <s v="Catedral de la Alabanza"/>
    <s v="Blanca.bascunan.perez1973@gmail.com"/>
    <s v="José Ferrada"/>
    <x v="9"/>
    <s v="MC"/>
    <m/>
  </r>
  <r>
    <x v="102"/>
    <s v="Claudia"/>
    <s v="Rivera"/>
    <s v="Oyarzun"/>
    <n v="118524896"/>
    <d v="1970-12-17T00:00:00"/>
    <s v="+569 94156363"/>
    <x v="0"/>
    <s v="Catedral de la Alabanza"/>
    <s v="Claudia.aro@hotmail.com"/>
    <s v="NN"/>
    <x v="12"/>
    <s v="MT"/>
    <m/>
  </r>
  <r>
    <x v="103"/>
    <s v="Liz"/>
    <s v="Ferrada"/>
    <s v="Arco"/>
    <s v="15929428-5"/>
    <d v="1986-01-09T00:00:00"/>
    <s v="+56999099980"/>
    <x v="0"/>
    <s v="Catedral de la Alabanza"/>
    <s v="Scolariferrada@gmail.com"/>
    <s v="Christian Jara"/>
    <x v="9"/>
    <s v="MC"/>
    <m/>
  </r>
  <r>
    <x v="104"/>
    <s v="Gabriel"/>
    <s v="González "/>
    <s v="Soza"/>
    <s v="21.645.058-2"/>
    <d v="2004-08-26T00:00:00"/>
    <s v="+569 76346340"/>
    <x v="1"/>
    <s v="Catedral de la Alabanza"/>
    <s v="gegsoza@gmail.com"/>
    <s v="Estudiante"/>
    <x v="5"/>
    <s v="MT"/>
    <m/>
  </r>
  <r>
    <x v="105"/>
    <s v="Danny "/>
    <s v="Romero"/>
    <s v="Vidal"/>
    <n v="186994906"/>
    <d v="1996-02-23T00:00:00"/>
    <n v="42393801"/>
    <x v="0"/>
    <s v="Catedral de la Alabanza"/>
    <s v="deromerov23@gmail.com"/>
    <s v="Christian Jara"/>
    <x v="5"/>
    <s v="MT"/>
    <m/>
  </r>
  <r>
    <x v="106"/>
    <s v="Inga"/>
    <s v="Castro"/>
    <s v="Machuca"/>
    <n v="185691020"/>
    <d v="1993-06-26T00:00:00"/>
    <n v="56983228752"/>
    <x v="0"/>
    <s v="Catedral de la Alabanza"/>
    <s v="mcastro.in@gmail.com"/>
    <s v="Christian Jara"/>
    <x v="5"/>
    <s v="MT"/>
    <m/>
  </r>
  <r>
    <x v="107"/>
    <s v="Maria "/>
    <s v="Lagos "/>
    <s v="Roa "/>
    <s v="4558833-5"/>
    <d v="1942-02-22T00:00:00"/>
    <n v="972817377"/>
    <x v="0"/>
    <s v="Catedral de la Alabanza"/>
    <s v="Marialagos@gmail.com"/>
    <s v="José Ferrada"/>
    <x v="5"/>
    <s v="MT"/>
    <m/>
  </r>
  <r>
    <x v="108"/>
    <s v="Jocelyn "/>
    <s v="Parada"/>
    <s v="Velásquez "/>
    <n v="143624889"/>
    <d v="1978-12-02T00:00:00"/>
    <s v="+56932086047"/>
    <x v="0"/>
    <s v="Catedral de la Alabanza"/>
    <s v="mjgparada@gmail.com"/>
    <s v="Juan Manuel Caro"/>
    <x v="5"/>
    <s v="MT"/>
    <m/>
  </r>
  <r>
    <x v="109"/>
    <s v="María José "/>
    <s v="Guzman"/>
    <s v="Parada"/>
    <n v="220310299"/>
    <d v="2006-01-23T00:00:00"/>
    <s v="+56932086047"/>
    <x v="1"/>
    <s v="Catedral de la Alabanza"/>
    <s v="mjgparada@gmail.com"/>
    <s v="Estudiante"/>
    <x v="5"/>
    <s v="ya inscrita"/>
    <m/>
  </r>
  <r>
    <x v="110"/>
    <s v="Minor"/>
    <s v="Salinas"/>
    <s v="Braniff "/>
    <s v="9245244-1"/>
    <d v="1963-03-04T00:00:00"/>
    <n v="963404492"/>
    <x v="0"/>
    <s v="Catedral de la Alabanza"/>
    <s v="Minor3921@hotmail.con"/>
    <s v="Flor Arcos"/>
    <x v="2"/>
    <s v="Ok"/>
    <m/>
  </r>
  <r>
    <x v="111"/>
    <s v="Jose "/>
    <s v="Alvarez"/>
    <s v="Garcia "/>
    <s v="26983012-3"/>
    <d v="1991-05-23T00:00:00"/>
    <n v="998133052"/>
    <x v="4"/>
    <s v="Catedral de la Alabanza"/>
    <s v="Jose7alvarez@gmail.com"/>
    <s v="Estudiante"/>
    <x v="4"/>
    <m/>
    <n v="3500"/>
  </r>
  <r>
    <x v="112"/>
    <s v="Virginia"/>
    <s v="Villagra "/>
    <s v="Espinoza "/>
    <s v="13863746-8"/>
    <d v="1980-07-30T00:00:00"/>
    <n v="957719329"/>
    <x v="0"/>
    <s v="Catedral de la Alabanza"/>
    <s v="Veloisa@gmail.com"/>
    <s v="NN"/>
    <x v="4"/>
    <m/>
    <m/>
  </r>
  <r>
    <x v="113"/>
    <s v="Stefania"/>
    <s v="Neira"/>
    <s v="Carrasco"/>
    <s v="18250084-4"/>
    <d v="1993-02-11T00:00:00"/>
    <n v="974897349"/>
    <x v="0"/>
    <s v="Catedral de la Alabanza"/>
    <s v="Stefanianeira@gmail.com"/>
    <s v="Christian Jara"/>
    <x v="10"/>
    <s v="SN"/>
    <m/>
  </r>
  <r>
    <x v="114"/>
    <s v="Daniel"/>
    <s v="Salinas"/>
    <s v="Lagos"/>
    <s v="19739458-5"/>
    <d v="1997-05-17T00:00:00"/>
    <n v="992960322"/>
    <x v="0"/>
    <s v="Catedral de la Alabanza"/>
    <s v="Daaaniel.sb@gmail.com"/>
    <s v="Christian Jara"/>
    <x v="10"/>
    <s v="SN"/>
    <m/>
  </r>
  <r>
    <x v="115"/>
    <s v="Victor "/>
    <s v="Parra"/>
    <s v="Venegas "/>
    <s v="13916667-1"/>
    <d v="1980-07-18T00:00:00"/>
    <n v="982603180"/>
    <x v="1"/>
    <s v="Catedral de la Alabanza"/>
    <s v="Vparra.soporte@gmail.com"/>
    <s v="Estudiante"/>
    <x v="5"/>
    <s v="NR"/>
    <m/>
  </r>
  <r>
    <x v="116"/>
    <s v="Scarlett"/>
    <s v="Repetto "/>
    <s v="Flores"/>
    <s v="17908668-9"/>
    <d v="1992-01-07T00:00:00"/>
    <n v="952724562"/>
    <x v="0"/>
    <s v="Catedral de la Alabanza"/>
    <s v="Scarlett.repetto@gmail.com"/>
    <s v="Christian Jara"/>
    <x v="5"/>
    <s v="NR"/>
    <m/>
  </r>
  <r>
    <x v="117"/>
    <s v="Amparo"/>
    <s v="Abeleida"/>
    <s v="Soto"/>
    <s v="22.319.539-3"/>
    <d v="2007-01-26T00:00:00"/>
    <s v="3171 4303"/>
    <x v="1"/>
    <s v="Encuentro con Cristo"/>
    <s v="abeleidaampi@gmail.com"/>
    <s v="Visita"/>
    <x v="5"/>
    <s v="NR"/>
    <m/>
  </r>
  <r>
    <x v="118"/>
    <s v="Marlene "/>
    <s v="Alvial "/>
    <s v="Medina "/>
    <s v="13.487.311-6"/>
    <d v="1978-02-20T00:00:00"/>
    <s v="+56981209818"/>
    <x v="0"/>
    <s v="Catedral de la Alabanza"/>
    <s v="mar.alvial@gmail.com"/>
    <s v="NN"/>
    <x v="5"/>
    <s v="NR"/>
    <m/>
  </r>
  <r>
    <x v="119"/>
    <s v="Diego"/>
    <s v="Tobar"/>
    <s v="Alvial "/>
    <s v="22.519.719-9"/>
    <d v="2007-10-05T00:00:00"/>
    <s v="+56963116851"/>
    <x v="1"/>
    <s v="Catedral de la Alabanza"/>
    <s v="tobaralvialdiego@gmail.com"/>
    <s v="Estudiante"/>
    <x v="5"/>
    <s v="NR"/>
    <m/>
  </r>
  <r>
    <x v="120"/>
    <s v="Abigail"/>
    <s v="Romero"/>
    <s v="Mendoza"/>
    <s v="22794575-3"/>
    <d v="2008-08-14T00:00:00"/>
    <n v="945224639"/>
    <x v="1"/>
    <s v="Catedral de la Alabanza"/>
    <s v="Abi.rom.men@gmail.com"/>
    <s v="Flor Arcos"/>
    <x v="5"/>
    <s v="NR"/>
    <m/>
  </r>
  <r>
    <x v="121"/>
    <s v="Alejandro "/>
    <s v="Torres "/>
    <s v="Hara"/>
    <s v="12.895.570-4"/>
    <d v="1975-01-14T00:00:00"/>
    <s v="+56995454246"/>
    <x v="0"/>
    <s v="Catedral de la Alabanza"/>
    <s v="alejandrot32@gmail.com"/>
    <s v="Christian Jara"/>
    <x v="5"/>
    <s v="NR"/>
    <m/>
  </r>
  <r>
    <x v="121"/>
    <s v="Pablo "/>
    <s v="Bustamante "/>
    <s v="Ferrada "/>
    <n v="164733742"/>
    <d v="1986-08-23T00:00:00"/>
    <s v="+56 9 9631 8699"/>
    <x v="0"/>
    <s v="Catedral de la Alabanza"/>
    <s v="Pablo.bustamantef@outlook.es"/>
    <s v="Christian Jara"/>
    <x v="3"/>
    <m/>
    <m/>
  </r>
  <r>
    <x v="122"/>
    <s v="Constanza "/>
    <s v="Castro"/>
    <s v="Marcoleta"/>
    <s v="21773790-7"/>
    <d v="2005-02-14T00:00:00"/>
    <n v="964873133"/>
    <x v="1"/>
    <s v="Catedral de la Alabanza"/>
    <s v="Constanza.cm124@gmail.com"/>
    <s v="Christian Jara"/>
    <x v="5"/>
    <s v="NR"/>
    <m/>
  </r>
  <r>
    <x v="123"/>
    <s v="Constanza"/>
    <s v="Marcoleta"/>
    <s v="Navarro"/>
    <s v="12654520-7"/>
    <d v="1974-04-03T00:00:00"/>
    <n v="932385215"/>
    <x v="0"/>
    <s v="Catedral de la Alabanza"/>
    <s v="Conymarcoletan@gmail.com"/>
    <s v="Flor Arcos"/>
    <x v="5"/>
    <s v="NR"/>
    <m/>
  </r>
  <r>
    <x v="124"/>
    <s v="Elizabeth"/>
    <s v="Lara"/>
    <s v="Manriquez"/>
    <s v="13481382-2"/>
    <d v="1978-11-06T00:00:00"/>
    <n v="56990773417"/>
    <x v="3"/>
    <s v="Visita vecina "/>
    <s v="Elymlaram@gmail.com"/>
    <s v="Visita"/>
    <x v="2"/>
    <s v="NR"/>
    <m/>
  </r>
  <r>
    <x v="125"/>
    <s v="Marco"/>
    <s v="Soto"/>
    <s v="Alvarado"/>
    <n v="172812104"/>
    <d v="1990-01-22T00:00:00"/>
    <s v="+56996890788"/>
    <x v="1"/>
    <s v="Catedral de la Alabanza"/>
    <s v="M.soto460@gmail.com"/>
    <s v="Estudiante"/>
    <x v="5"/>
    <s v="NR"/>
    <m/>
  </r>
  <r>
    <x v="126"/>
    <s v="Ernesto"/>
    <s v="Fuentes"/>
    <s v="Guzman"/>
    <n v="169793743"/>
    <d v="1989-08-22T00:00:00"/>
    <s v="+56965404742"/>
    <x v="3"/>
    <s v="Iglesia invitada"/>
    <s v="ernestoa.fuentes@gmail.com"/>
    <s v="Estudiante"/>
    <x v="8"/>
    <s v="MC"/>
    <m/>
  </r>
  <r>
    <x v="127"/>
    <s v="Catalina"/>
    <s v="Palma"/>
    <s v="Pérez "/>
    <s v="22055908-4 "/>
    <d v="2006-02-08T00:00:00"/>
    <s v="569 9616 2583"/>
    <x v="1"/>
    <s v="Catedral de la Alabanza"/>
    <s v="catabelenpalma.18@gmail.com"/>
    <s v="Estudiante"/>
    <x v="5"/>
    <s v="NR"/>
    <m/>
  </r>
  <r>
    <x v="128"/>
    <s v="Martín "/>
    <s v="González "/>
    <s v="Vargas"/>
    <s v="20667542-K"/>
    <d v="2000-12-22T00:00:00"/>
    <n v="958985810"/>
    <x v="5"/>
    <s v="Catedral de la Alabanza"/>
    <s v="m4rt1n22gv@gmail.com"/>
    <s v="Estudiante"/>
    <x v="4"/>
    <m/>
    <n v="3000"/>
  </r>
  <r>
    <x v="129"/>
    <s v="María Antonia "/>
    <s v="Sereño"/>
    <s v="Gutierrez"/>
    <s v="21282106-3"/>
    <d v="2003-04-21T00:00:00"/>
    <s v="+56959224886"/>
    <x v="3"/>
    <s v="Iglesia invitada"/>
    <s v="m.antoniasere@gmail.com"/>
    <s v="Otra Iglesia"/>
    <x v="5"/>
    <s v="NR"/>
    <m/>
  </r>
  <r>
    <x v="130"/>
    <s v="Victor"/>
    <s v="Montecinos "/>
    <s v="Bustamante"/>
    <n v="81509581"/>
    <d v="1957-01-28T00:00:00"/>
    <s v="+56937167170"/>
    <x v="0"/>
    <s v="Catedral de la Alabanza"/>
    <s v="bustamantevic94@gmail.com"/>
    <s v="NN"/>
    <x v="3"/>
    <m/>
    <m/>
  </r>
  <r>
    <x v="131"/>
    <s v="Sofia"/>
    <s v="Jara "/>
    <s v="Hormazabal "/>
    <s v="23884816-4"/>
    <d v="2012-02-28T00:00:00"/>
    <n v="940898530"/>
    <x v="1"/>
    <s v="Catedral de la Alabanza"/>
    <s v="Sjarahormazabal2012@gmail.com"/>
    <s v="Estudiante"/>
    <x v="5"/>
    <s v="NR"/>
    <m/>
  </r>
  <r>
    <x v="132"/>
    <s v="Cheresty "/>
    <s v="Hormazabal "/>
    <s v="Troncoso "/>
    <s v="13.684.283-8 "/>
    <d v="1979-10-01T00:00:00"/>
    <n v="993687979"/>
    <x v="0"/>
    <s v="Catedral de la Alabanza"/>
    <s v="Chhormazabal@hotmail.com"/>
    <s v="Christian Jara"/>
    <x v="5"/>
    <s v="NR"/>
    <m/>
  </r>
  <r>
    <x v="133"/>
    <s v="Roberto "/>
    <s v="Nuñez "/>
    <s v="Martinez "/>
    <s v="12279512-8"/>
    <d v="1972-04-25T00:00:00"/>
    <n v="939050314"/>
    <x v="3"/>
    <s v="Iglesia invitada"/>
    <s v="Robertonunez748@gmail.com "/>
    <s v="Otra Iglesia"/>
    <x v="8"/>
    <s v="MC"/>
    <m/>
  </r>
  <r>
    <x v="134"/>
    <s v="Oscar eduardo "/>
    <s v="Pedraza"/>
    <s v="Galvez "/>
    <s v="15588969-1 "/>
    <d v="1983-11-08T00:00:00"/>
    <s v="+56977270080"/>
    <x v="0"/>
    <s v="Catedral de la Alabanza"/>
    <s v="opedrazahbl@gmail.com"/>
    <s v="NN"/>
    <x v="2"/>
    <s v="NR"/>
    <m/>
  </r>
  <r>
    <x v="135"/>
    <s v="Gonzalo"/>
    <s v="Huerta "/>
    <s v="Nuñez"/>
    <n v="141862456"/>
    <d v="1981-08-17T00:00:00"/>
    <n v="945657997"/>
    <x v="3"/>
    <s v="Iglesia invitada"/>
    <s v="gonzaloricardohuerta2188@gmail.com"/>
    <s v="Luminares"/>
    <x v="5"/>
    <s v="NR"/>
    <m/>
  </r>
  <r>
    <x v="136"/>
    <s v="Christian "/>
    <s v="Arcos"/>
    <s v="Fuentes"/>
    <n v="173827970"/>
    <d v="1990-02-12T00:00:00"/>
    <n v="983481766"/>
    <x v="0"/>
    <s v="Catedral de la Alabanza"/>
    <s v="christian.arcos.f@gmail.com"/>
    <s v="Christian Jara"/>
    <x v="9"/>
    <s v="MC"/>
    <m/>
  </r>
  <r>
    <x v="137"/>
    <s v="Manuel"/>
    <s v="Bustamante"/>
    <s v="Ferrada"/>
    <n v="141369490"/>
    <d v="1980-12-27T00:00:00"/>
    <n v="998272902"/>
    <x v="0"/>
    <s v="Catedral de la Alabanza"/>
    <s v="manuel.bustamante@outlook.com"/>
    <s v="Christian Jara"/>
    <x v="10"/>
    <s v="FS"/>
    <m/>
  </r>
  <r>
    <x v="138"/>
    <s v="Javiera "/>
    <s v="Rodriguez "/>
    <s v="Pedraza"/>
    <n v="212528501"/>
    <d v="2003-03-05T00:00:00"/>
    <s v="+56931704924"/>
    <x v="1"/>
    <s v="Catedral de la Alabanza"/>
    <s v="R.pedrazajaviera@gmail.com"/>
    <s v="Estudiante"/>
    <x v="2"/>
    <s v="NR"/>
    <m/>
  </r>
  <r>
    <x v="139"/>
    <s v="Aline"/>
    <s v="Gómez "/>
    <s v="Jaña"/>
    <s v="21.460.143-5 "/>
    <d v="2003-12-10T00:00:00"/>
    <n v="79281378"/>
    <x v="1"/>
    <s v="Catedral de la Alabanza"/>
    <s v="aline.gomezj20@gmail.com "/>
    <s v="Estudiante"/>
    <x v="5"/>
    <s v="NR"/>
    <m/>
  </r>
  <r>
    <x v="140"/>
    <s v="Cristian "/>
    <s v="Espinosa"/>
    <s v="Navarrete"/>
    <s v="21201916k"/>
    <d v="2002-12-31T00:00:00"/>
    <s v="+56991358643"/>
    <x v="3"/>
    <s v="Iglesia invitada"/>
    <s v="Cristian.espinosa1@mail.udp.cl"/>
    <s v="Otra Iglesia"/>
    <x v="5"/>
    <s v="NR"/>
    <m/>
  </r>
  <r>
    <x v="141"/>
    <s v="Javiera "/>
    <s v="Gómez "/>
    <s v="Jaña"/>
    <s v="22.912.132-4"/>
    <d v="2009-01-05T00:00:00"/>
    <s v="+56937179512"/>
    <x v="1"/>
    <s v="Catedral de la Alabanza"/>
    <s v="javivisgj@gmail.com"/>
    <s v="NN"/>
    <x v="5"/>
    <s v="NR"/>
    <m/>
  </r>
  <r>
    <x v="142"/>
    <s v="Claudia Patricia"/>
    <s v="Santander "/>
    <s v="Campos"/>
    <s v="12.457.793-4"/>
    <d v="1973-01-08T00:00:00"/>
    <s v="9-54031106"/>
    <x v="0"/>
    <s v="Catedral de la Alabanza"/>
    <s v="Csantander2003@gmail.com"/>
    <s v="Christian Jara"/>
    <x v="3"/>
    <m/>
    <m/>
  </r>
  <r>
    <x v="143"/>
    <s v="Flor"/>
    <s v="Lara"/>
    <s v="Soto"/>
    <s v="15586763-9 "/>
    <d v="1983-07-08T00:00:00"/>
    <s v="+56981896781"/>
    <x v="0"/>
    <s v="Catedral de la Alabanza"/>
    <s v="Florcita77724@gmail.com"/>
    <s v="Christian Jara"/>
    <x v="10"/>
    <s v="NR"/>
    <m/>
  </r>
  <r>
    <x v="144"/>
    <s v="Daniel "/>
    <s v="Escudero"/>
    <s v="Navarrete"/>
    <n v="160462388"/>
    <d v="1985-10-15T00:00:00"/>
    <n v="86138819"/>
    <x v="2"/>
    <s v="Catedral de la Alabanza"/>
    <s v="Daniel.escudero.navarrete@gmail.com"/>
    <s v="Flor Arcos"/>
    <x v="4"/>
    <m/>
    <m/>
  </r>
  <r>
    <x v="145"/>
    <s v="vicente "/>
    <s v="espina"/>
    <s v="rojas"/>
    <s v="22288649k"/>
    <d v="2006-12-20T00:00:00"/>
    <n v="42934613"/>
    <x v="3"/>
    <s v="Iglesia invitada"/>
    <s v="fuentesvicente329@gmail.com"/>
    <s v="Luminares"/>
    <x v="5"/>
    <s v="NR"/>
    <m/>
  </r>
  <r>
    <x v="146"/>
    <s v="José "/>
    <s v="Ferrada"/>
    <s v="Troncoso"/>
    <n v="60542902"/>
    <d v="1952-05-03T00:00:00"/>
    <s v="+569 93359181"/>
    <x v="0"/>
    <s v="Catedral de la Alabanza"/>
    <s v="joseferradapastor@gmail.com"/>
    <s v="José Ferrada"/>
    <x v="2"/>
    <s v="NR"/>
    <m/>
  </r>
  <r>
    <x v="147"/>
    <s v="Damaris"/>
    <s v="Sandoval"/>
    <s v="López"/>
    <s v="20224418-1"/>
    <d v="1999-07-06T00:00:00"/>
    <s v="+569 57629657"/>
    <x v="0"/>
    <s v="Catedral de la Alabanza"/>
    <s v="damaris.anais.lopez@gmail.com"/>
    <s v="Christian Jara"/>
    <x v="5"/>
    <s v="NR"/>
    <m/>
  </r>
  <r>
    <x v="148"/>
    <s v="Flor "/>
    <s v="Urzúa "/>
    <s v="Gallardo "/>
    <s v="699.507-1 "/>
    <d v="1958-10-21T00:00:00"/>
    <n v="978494251"/>
    <x v="0"/>
    <s v="Catedral de la Alabanza"/>
    <s v="Florcitaurzua@gmail.com"/>
    <s v="José Ferrada"/>
    <x v="3"/>
    <m/>
    <m/>
  </r>
  <r>
    <x v="149"/>
    <s v="Sandra"/>
    <s v="Galvez"/>
    <s v="Flores"/>
    <n v="107394028"/>
    <d v="1966-08-30T00:00:00"/>
    <n v="977651565"/>
    <x v="0"/>
    <s v="Catedral de la Alabanza"/>
    <s v="sagaflo1966@gmail.com"/>
    <s v="José Ferrada"/>
    <x v="9"/>
    <s v="MC"/>
    <m/>
  </r>
  <r>
    <x v="150"/>
    <s v="Paloma"/>
    <s v="Valenzuela "/>
    <s v="Ramirez "/>
    <n v="223567576"/>
    <d v="2007-03-22T00:00:00"/>
    <s v="+56954228507"/>
    <x v="1"/>
    <s v="Catedral de la Alabanza"/>
    <s v="Valenzuelapaloma3403@gmail.com"/>
    <s v="Estudiante"/>
    <x v="5"/>
    <s v="NR"/>
    <m/>
  </r>
  <r>
    <x v="151"/>
    <s v="Juan Bautista "/>
    <s v="Duarte"/>
    <s v="Veliz"/>
    <s v="7467139-k "/>
    <d v="1953-04-25T00:00:00"/>
    <n v="61480244"/>
    <x v="0"/>
    <s v="Catedral de la Alabanza"/>
    <s v="Juandv25@hotmail.com"/>
    <s v="José Ferrada"/>
    <x v="10"/>
    <s v="FS"/>
    <m/>
  </r>
  <r>
    <x v="152"/>
    <s v="Margarita "/>
    <s v="Orostegui "/>
    <s v="Escobar "/>
    <n v="65253569"/>
    <s v="6/10/0055"/>
    <n v="997117114"/>
    <x v="0"/>
    <s v="Catedral de la Alabanza"/>
    <s v="margaritaoe_10@yahoo.com"/>
    <s v="José Ferrada"/>
    <x v="10"/>
    <s v="FS"/>
    <m/>
  </r>
  <r>
    <x v="153"/>
    <s v="Daniela"/>
    <s v="Villarroel"/>
    <s v="Moreno"/>
    <s v="21106252-5"/>
    <d v="2002-03-27T00:00:00"/>
    <n v="86638956"/>
    <x v="1"/>
    <s v="Catedral de la Alabanza"/>
    <s v="danielavillarroel2703@gmail.com"/>
    <s v="Estudiante"/>
    <x v="2"/>
    <s v="NR"/>
    <m/>
  </r>
  <r>
    <x v="154"/>
    <s v="Miguel "/>
    <s v="López "/>
    <s v="Torres"/>
    <n v="137102285"/>
    <d v="1979-03-17T00:00:00"/>
    <s v="+56966561451"/>
    <x v="3"/>
    <s v="ICVR"/>
    <s v="miguel.l@hotmail.cl"/>
    <s v="ICVR"/>
    <x v="2"/>
    <s v="NR"/>
    <m/>
  </r>
  <r>
    <x v="155"/>
    <s v="Elizabeth "/>
    <s v="Céspedes "/>
    <s v="Alarcón "/>
    <s v="13205083k"/>
    <d v="1977-08-25T00:00:00"/>
    <s v="+56961663856"/>
    <x v="3"/>
    <s v="ICVR"/>
    <s v="ely.carmen7171@gmail.com"/>
    <s v="ICVR"/>
    <x v="2"/>
    <s v="NR"/>
    <m/>
  </r>
  <r>
    <x v="156"/>
    <s v="Adriana "/>
    <s v="Negrete"/>
    <s v="Riquelme"/>
    <s v="9136331-3"/>
    <d v="1961-10-21T00:00:00"/>
    <n v="81847757"/>
    <x v="0"/>
    <s v="Catedral de la Alabanza"/>
    <s v="nanymnr@gmail.com"/>
    <s v="José Ferrada"/>
    <x v="2"/>
    <s v="NR"/>
    <m/>
  </r>
  <r>
    <x v="157"/>
    <s v="Matia Cristina"/>
    <s v="Medina"/>
    <s v="Papamija"/>
    <s v="27373935-1"/>
    <d v="1986-07-19T00:00:00"/>
    <s v="+569 47377046"/>
    <x v="0"/>
    <s v="Catedral de la Alabanza"/>
    <s v="crismed1907@gmail.com"/>
    <s v="Chistian Jara"/>
    <x v="2"/>
    <s v="NR"/>
    <m/>
  </r>
  <r>
    <x v="158"/>
    <s v="Sandra"/>
    <s v="Riveros"/>
    <s v="Olivier "/>
    <s v="13279192-9"/>
    <d v="1977-03-22T00:00:00"/>
    <s v="+56967174785"/>
    <x v="0"/>
    <s v="Catedral de la Alabanza"/>
    <s v="sriveros@navarreteconsultores.cl"/>
    <s v="Christian Jara"/>
    <x v="2"/>
    <s v="NR"/>
    <m/>
  </r>
  <r>
    <x v="159"/>
    <s v="Raimundo "/>
    <s v="Flores "/>
    <s v="Bazaes"/>
    <n v="154659528"/>
    <d v="1982-01-21T00:00:00"/>
    <s v="+56979092027"/>
    <x v="0"/>
    <s v="Catedral de la Alabanza"/>
    <s v="raimundo.flores@live.cl"/>
    <s v="Flor Arcos"/>
    <x v="6"/>
    <s v="NR"/>
    <m/>
  </r>
  <r>
    <x v="160"/>
    <s v="Eduardo"/>
    <s v="Navarrete"/>
    <s v="Martínez"/>
    <s v="12896712-5"/>
    <d v="1974-12-21T00:00:00"/>
    <s v="+56977797405"/>
    <x v="0"/>
    <s v="Catedral de la Alabanza"/>
    <s v="Enavarrete@navarreteconsultores.cl"/>
    <s v="Christian Jara"/>
    <x v="2"/>
    <s v="NR"/>
    <m/>
  </r>
  <r>
    <x v="161"/>
    <s v="Glenda"/>
    <s v="Diaz"/>
    <s v="Mora"/>
    <s v="41399513-2"/>
    <d v="1971-04-11T00:00:00"/>
    <n v="32378980"/>
    <x v="0"/>
    <s v="Catedral de la Alabanza"/>
    <s v="Glendadiaz1104@gmail.com"/>
    <s v="NN"/>
    <x v="4"/>
    <m/>
    <m/>
  </r>
  <r>
    <x v="162"/>
    <s v="Victoria"/>
    <s v="Alvial"/>
    <s v="Medina"/>
    <s v="20464355-5"/>
    <d v="2000-02-04T00:00:00"/>
    <s v="+56988532947"/>
    <x v="0"/>
    <s v="Catedral de la Alabanza"/>
    <s v="victoria.alvial04@gmail.com"/>
    <s v="Flor Arcos"/>
    <x v="2"/>
    <s v="NR"/>
    <m/>
  </r>
  <r>
    <x v="163"/>
    <s v="ALEXIS"/>
    <s v="LLANO"/>
    <s v="ROJAS"/>
    <n v="116213443"/>
    <d v="1970-12-06T00:00:00"/>
    <n v="77643281"/>
    <x v="0"/>
    <s v="Catedral de la Alabanza"/>
    <s v="ALEXIS.LLANO@HOTMAIL.COM"/>
    <s v="Genoveva Navales"/>
    <x v="2"/>
    <s v="MT"/>
    <m/>
  </r>
  <r>
    <x v="164"/>
    <s v="Maria Alejandra "/>
    <s v="Alcarraz "/>
    <s v="Gutiérrez "/>
    <n v="94307546"/>
    <d v="1962-03-23T00:00:00"/>
    <n v="992861375"/>
    <x v="0"/>
    <s v="Catedral de la Alabanza"/>
    <s v="Alejandra.alcarraz@gmail.com"/>
    <s v="Genoveva Navales"/>
    <x v="2"/>
    <s v="MT"/>
    <m/>
  </r>
  <r>
    <x v="165"/>
    <s v="Scharom"/>
    <s v="Castellón"/>
    <s v="Capetillo"/>
    <s v="16.128.754-7"/>
    <d v="1985-12-16T00:00:00"/>
    <n v="965894635"/>
    <x v="0"/>
    <s v="Catedral de la Alabanza"/>
    <s v="Scharom@gmail.com"/>
    <s v="Christian Jara"/>
    <x v="10"/>
    <s v="NC"/>
    <m/>
  </r>
  <r>
    <x v="166"/>
    <s v="Marianela "/>
    <s v="López "/>
    <s v="Torres"/>
    <s v="13296341-k"/>
    <d v="1977-08-11T00:00:00"/>
    <s v="±569 82063263"/>
    <x v="0"/>
    <s v="Catedral de la Alabanza"/>
    <s v="Manela11nany@gmail.com"/>
    <s v="Juan Manuel Caro"/>
    <x v="10"/>
    <s v="FS"/>
    <m/>
  </r>
  <r>
    <x v="167"/>
    <s v="FÉLIX "/>
    <s v="HIDALGO "/>
    <s v="MONTALBA"/>
    <n v="181391154"/>
    <d v="1992-02-29T00:00:00"/>
    <s v="+56957621554"/>
    <x v="0"/>
    <s v="Catedral de la Alabanza"/>
    <s v="felix.hidalgo14@gmail.com"/>
    <s v="NN"/>
    <x v="2"/>
    <s v="MT"/>
    <m/>
  </r>
  <r>
    <x v="168"/>
    <s v="Benjamin Manuel "/>
    <s v="López "/>
    <s v="Aburto"/>
    <s v="21.190.720-7"/>
    <d v="2002-12-08T00:00:00"/>
    <s v="+569 6275 9976"/>
    <x v="1"/>
    <s v="Catedral de la Alabanza"/>
    <s v="benjamin.lopezaburto@gmail.com"/>
    <s v="Estudiante"/>
    <x v="2"/>
    <s v="MT"/>
    <m/>
  </r>
  <r>
    <x v="169"/>
    <s v="Sofía "/>
    <s v="Sandoval "/>
    <s v="Espinoza "/>
    <n v="222887143"/>
    <d v="2006-12-23T00:00:00"/>
    <n v="940982286"/>
    <x v="1"/>
    <s v="Catedral de la Alabanza"/>
    <s v="sofipazsane@gmail.com"/>
    <s v="Estudiante"/>
    <x v="2"/>
    <s v="MT"/>
    <m/>
  </r>
  <r>
    <x v="170"/>
    <s v="Carol "/>
    <s v="Castillo "/>
    <s v="Trujillo "/>
    <n v="128879900"/>
    <d v="1975-04-05T00:00:00"/>
    <n v="954097209"/>
    <x v="0"/>
    <s v="Catedral de la Alabanza"/>
    <s v="castillo.trujillo@gmail.com"/>
    <s v="Christian Jara"/>
    <x v="8"/>
    <s v="MT"/>
    <m/>
  </r>
  <r>
    <x v="171"/>
    <s v="Cecilia "/>
    <s v="Benucci "/>
    <s v="Faundez "/>
    <n v="11851307"/>
    <d v="2024-10-03T00:00:00"/>
    <n v="56996944277"/>
    <x v="0"/>
    <s v="Catedral de la Alabanza"/>
    <s v="Ceciliabncc@gmail.com"/>
    <s v="Juan Manuel Caro"/>
    <x v="6"/>
    <s v="MT"/>
    <m/>
  </r>
  <r>
    <x v="172"/>
    <s v="ARTURO PEDRO"/>
    <s v="OLIVARES"/>
    <s v="BENUCCI"/>
    <s v="10521605-K"/>
    <d v="1968-01-16T00:00:00"/>
    <s v="+569 27112204"/>
    <x v="0"/>
    <s v="Catedral de la Alabanza"/>
    <s v="ceciliabncc@gmail.com"/>
    <s v="Juan Manuel Caro"/>
    <x v="6"/>
    <s v="MT"/>
    <m/>
  </r>
  <r>
    <x v="173"/>
    <s v="LORETO PAZ"/>
    <s v="OLIVARES"/>
    <s v="BENUCCI"/>
    <s v="21814933-2"/>
    <d v="2005-04-06T00:00:00"/>
    <s v="569 87282607"/>
    <x v="1"/>
    <s v="Catedral de la Alabanza"/>
    <s v="ceciliabncc@gmail.com"/>
    <s v="Estudiante"/>
    <x v="6"/>
    <s v="MT"/>
    <m/>
  </r>
  <r>
    <x v="174"/>
    <s v="Gabriela"/>
    <s v="Bustos"/>
    <s v="Martinez"/>
    <s v="10.873.844-8 "/>
    <d v="1966-07-28T00:00:00"/>
    <n v="976188561"/>
    <x v="0"/>
    <s v="Catedral de la Alabanza"/>
    <s v="Bustosmartinezg@gmail.com "/>
    <s v="Chistian Jara"/>
    <x v="10"/>
    <s v="FS"/>
    <m/>
  </r>
  <r>
    <x v="175"/>
    <s v="Patricia "/>
    <s v="Leiva"/>
    <s v="Vallejos"/>
    <s v="11054450-2"/>
    <d v="1966-01-13T00:00:00"/>
    <s v="+569940768965"/>
    <x v="0"/>
    <s v="Catedral de la Alabanza"/>
    <s v="paty.2017leiva@gmail.com"/>
    <s v="NN"/>
    <x v="6"/>
    <s v="MT"/>
    <m/>
  </r>
  <r>
    <x v="176"/>
    <s v="Paola"/>
    <s v="Corales "/>
    <s v="Pereda"/>
    <s v="12.154.401-6"/>
    <d v="1969-10-22T00:00:00"/>
    <s v="9- 77311707"/>
    <x v="0"/>
    <s v="Catedral de la Alabanza"/>
    <s v="pao.corales@gmail.com"/>
    <s v="Christian Jara"/>
    <x v="8"/>
    <s v="MT"/>
    <m/>
  </r>
  <r>
    <x v="177"/>
    <s v="Marcelo "/>
    <s v="Reyes"/>
    <s v="Sayen"/>
    <s v="15445951-0"/>
    <d v="1983-03-09T00:00:00"/>
    <n v="940060052"/>
    <x v="2"/>
    <s v="Catedral de la Alabanza"/>
    <s v="Anthonellaambar2014@gmail.com "/>
    <s v="José Ferrada"/>
    <x v="4"/>
    <m/>
    <m/>
  </r>
  <r>
    <x v="178"/>
    <s v="Angiella "/>
    <s v="Miranda "/>
    <s v="Echanez "/>
    <s v="17024179-7"/>
    <d v="1988-09-23T00:00:00"/>
    <n v="994402423"/>
    <x v="2"/>
    <s v="Catedral de la Alabanza"/>
    <s v="anthonellaambar2014@gmail.com"/>
    <s v="José Ferrada"/>
    <x v="4"/>
    <m/>
    <m/>
  </r>
  <r>
    <x v="179"/>
    <s v="Marlen"/>
    <s v="Lagos"/>
    <s v="Suzarte"/>
    <s v="126477414-4"/>
    <d v="1974-11-19T00:00:00"/>
    <s v="+56956244244"/>
    <x v="0"/>
    <s v="Catedral de la Alabanza"/>
    <s v="marlencita12@gmail.com"/>
    <s v="Christian Jara"/>
    <x v="10"/>
    <s v="FS"/>
    <m/>
  </r>
  <r>
    <x v="180"/>
    <s v="Jacqueline "/>
    <s v="Mesa"/>
    <s v="Díaz "/>
    <s v="12885702-8"/>
    <d v="1974-09-04T00:00:00"/>
    <s v="+569 79315235"/>
    <x v="0"/>
    <s v="Catedral de la Alabanza"/>
    <s v="jmesa205@gmail.com"/>
    <s v="Juan Manuel Caro"/>
    <x v="10"/>
    <s v="FS"/>
    <m/>
  </r>
  <r>
    <x v="181"/>
    <s v="Benjamín "/>
    <s v="Flores"/>
    <s v="Valdés "/>
    <n v="211949562"/>
    <d v="2025-05-21T00:00:00"/>
    <s v="+56990613806"/>
    <x v="1"/>
    <s v="Catedral de la Alabanza"/>
    <s v="benjaminfloresvaldes@gmail.com"/>
    <s v="Estudiante"/>
    <x v="6"/>
    <s v="MT"/>
    <m/>
  </r>
  <r>
    <x v="182"/>
    <s v="Elizabeth "/>
    <s v="Zelada "/>
    <s v="López "/>
    <s v="10473964-4"/>
    <d v="1966-04-20T00:00:00"/>
    <s v="+56973188653"/>
    <x v="0"/>
    <s v="Catedral de la Alabanza"/>
    <s v="elizabeth.zelada.lopez@gmail.com"/>
    <s v="José Ferrada"/>
    <x v="6"/>
    <s v="MT"/>
    <m/>
  </r>
  <r>
    <x v="183"/>
    <s v="Marjorie"/>
    <s v="Flores"/>
    <s v="Peña"/>
    <n v="109087645"/>
    <d v="1981-03-17T00:00:00"/>
    <s v="+56944431174"/>
    <x v="0"/>
    <s v="Catedral de la Alabanza"/>
    <s v="Marjorieflowers@live.com"/>
    <s v="Christian Jara"/>
    <x v="8"/>
    <s v="MT"/>
    <m/>
  </r>
  <r>
    <x v="184"/>
    <s v="Paulina "/>
    <s v="Marqués "/>
    <s v="Molina"/>
    <s v="16013856-4 "/>
    <d v="1984-12-21T00:00:00"/>
    <s v="+56995094631"/>
    <x v="0"/>
    <s v="Catedral de la Alabanza"/>
    <s v="Paulina.marques@hotmail.com"/>
    <s v="Christian Jara"/>
    <x v="9"/>
    <s v="MC"/>
    <m/>
  </r>
  <r>
    <x v="185"/>
    <s v="Juan Pablo "/>
    <s v="Ferrada"/>
    <s v="Arcos"/>
    <s v="10673050-4"/>
    <d v="1981-04-18T00:00:00"/>
    <s v="*56984297910"/>
    <x v="0"/>
    <s v="Catedral de la Alabanza"/>
    <s v="V12producciones.Jpfa@Gmail.com"/>
    <s v="Christian Jara"/>
    <x v="3"/>
    <m/>
    <m/>
  </r>
  <r>
    <x v="186"/>
    <s v="Cristian "/>
    <s v="Romero "/>
    <s v="Sagal "/>
    <n v="128089012"/>
    <d v="2025-12-01T00:00:00"/>
    <n v="963747989"/>
    <x v="0"/>
    <s v="Catedral de la Alabanza"/>
    <s v="romerosagal23@gmail.com"/>
    <s v="Christian Jara"/>
    <x v="7"/>
    <s v="MT"/>
    <m/>
  </r>
  <r>
    <x v="187"/>
    <s v="Carolina"/>
    <s v="González"/>
    <s v="Soza"/>
    <n v="209708159"/>
    <d v="2002-02-18T00:00:00"/>
    <s v="+56968573255"/>
    <x v="1"/>
    <s v="Catedral de la Alabanza"/>
    <s v="cegsoza@gmail.com"/>
    <s v="Estudiante"/>
    <x v="6"/>
    <s v="MT"/>
    <m/>
  </r>
  <r>
    <x v="188"/>
    <s v="RAFAEL "/>
    <s v="MARIN"/>
    <s v="CARRASCO"/>
    <n v="114764817"/>
    <d v="1969-12-02T00:00:00"/>
    <s v="+56993320538"/>
    <x v="0"/>
    <s v="Catedral de la Alabanza"/>
    <s v="rmarin38@gmail.com"/>
    <s v="NN"/>
    <x v="10"/>
    <s v="MC"/>
    <m/>
  </r>
  <r>
    <x v="189"/>
    <s v="Karol paola"/>
    <s v="Martinez "/>
    <s v="Argeñal"/>
    <s v="23730945-6"/>
    <d v="1980-06-10T00:00:00"/>
    <n v="947907924"/>
    <x v="0"/>
    <s v="Catedral de la Alabanza"/>
    <s v="karolmartinez10@yahoo.com"/>
    <s v="José Ferrada"/>
    <x v="6"/>
    <s v="MT"/>
    <m/>
  </r>
  <r>
    <x v="190"/>
    <s v="MONICA"/>
    <s v="URZUA"/>
    <s v="URREA"/>
    <n v="97852057"/>
    <d v="1963-08-04T00:00:00"/>
    <n v="997011166"/>
    <x v="0"/>
    <s v="Catedral de la Alabanza"/>
    <s v="murzuaurrea63@gmail.com"/>
    <s v="NN"/>
    <x v="10"/>
    <s v="MC"/>
    <m/>
  </r>
  <r>
    <x v="191"/>
    <s v="ANDRES"/>
    <s v="MARIN"/>
    <s v="URZUA"/>
    <n v="177831611"/>
    <d v="1991-05-27T00:00:00"/>
    <n v="989485293"/>
    <x v="0"/>
    <s v="Catedral de la Alabanza"/>
    <s v="andresalonsomu@gmail.com"/>
    <s v="NN"/>
    <x v="10"/>
    <s v="MC"/>
    <m/>
  </r>
  <r>
    <x v="192"/>
    <s v="Cristopher"/>
    <s v="Villa "/>
    <s v="Gajardo"/>
    <n v="196472851"/>
    <d v="1997-03-19T00:00:00"/>
    <n v="52282354"/>
    <x v="3"/>
    <s v="Catedral de la Alabanza"/>
    <s v="cristopher.villa.gajardo@gmail.com"/>
    <s v="Visita"/>
    <x v="6"/>
    <s v="MT"/>
    <m/>
  </r>
  <r>
    <x v="193"/>
    <s v="Carolina "/>
    <s v="Valdes "/>
    <s v="Moya"/>
    <n v="156970476"/>
    <d v="1983-09-17T00:00:00"/>
    <s v="+56988066769"/>
    <x v="0"/>
    <s v="Catedral de la Alabanza"/>
    <s v="carvirvm@gmail.com"/>
    <s v="Flor Arcos"/>
    <x v="2"/>
    <s v="MC"/>
    <m/>
  </r>
  <r>
    <x v="194"/>
    <s v="Martín "/>
    <s v="Yáñez "/>
    <s v="Fernández "/>
    <s v="21996163-4"/>
    <d v="2005-12-08T00:00:00"/>
    <s v="+56923816527"/>
    <x v="1"/>
    <s v="Catedral de la Alabanza"/>
    <s v="martinfernandez0805@gmail.com"/>
    <s v="Estudiante"/>
    <x v="6"/>
    <s v="MC"/>
    <m/>
  </r>
  <r>
    <x v="195"/>
    <s v="Gustavo "/>
    <s v="Rivera"/>
    <s v="Bustamante"/>
    <s v="167745581-6"/>
    <d v="1987-12-15T00:00:00"/>
    <n v="954137784"/>
    <x v="0"/>
    <s v="Catedral de la Alabanza"/>
    <s v="g.rivera.12@live.cl"/>
    <s v="Christian Jara"/>
    <x v="6"/>
    <s v="MC"/>
    <m/>
  </r>
  <r>
    <x v="196"/>
    <s v=" Bernardino "/>
    <s v="Castro"/>
    <s v="Guajardo"/>
    <s v="12368295-5"/>
    <d v="1973-06-24T00:00:00"/>
    <s v="+56992507457"/>
    <x v="0"/>
    <s v="Catedral de la Alabanza"/>
    <s v="edu.1914@gmail.com"/>
    <s v="José Ferrada"/>
    <x v="10"/>
    <s v="MC"/>
    <m/>
  </r>
  <r>
    <x v="197"/>
    <s v="Arturo "/>
    <s v="Araneda"/>
    <s v="Flores"/>
    <s v="13615843-0 "/>
    <d v="1979-05-16T00:00:00"/>
    <s v="+56991383818"/>
    <x v="0"/>
    <s v="Catedral de la Alabanza"/>
    <s v="Arturo.araneda@gmail.com"/>
    <s v="Christian Jara"/>
    <x v="6"/>
    <s v="MC"/>
    <m/>
  </r>
  <r>
    <x v="198"/>
    <s v="Cynthia"/>
    <s v="Serrano"/>
    <s v="Faúndez "/>
    <s v="14205395-0"/>
    <d v="1980-12-24T00:00:00"/>
    <s v="±56976227523"/>
    <x v="0"/>
    <s v="Catedral de la Alabanza"/>
    <s v="Cynthiase@gmail.com"/>
    <s v="Christian Jara"/>
    <x v="6"/>
    <s v="MC"/>
    <m/>
  </r>
  <r>
    <x v="199"/>
    <s v="Agustina"/>
    <s v="Araneda "/>
    <s v="Serrano"/>
    <s v="23801022-5"/>
    <d v="2011-11-20T00:00:00"/>
    <s v="+56 9 4896 7142"/>
    <x v="1"/>
    <s v="Catedral de la Alabanza"/>
    <s v="agustinas201111@gmail.com"/>
    <s v="Estudiante"/>
    <x v="6"/>
    <s v="MC"/>
    <m/>
  </r>
  <r>
    <x v="200"/>
    <s v="Sujey "/>
    <s v="Gonzalez "/>
    <s v="Rojas "/>
    <s v="13265664-9"/>
    <d v="1977-04-26T00:00:00"/>
    <n v="938990193"/>
    <x v="3"/>
    <s v="Iglesia invitada"/>
    <s v="mariasujey.gonzalez@gmail.com"/>
    <s v="Visita"/>
    <x v="4"/>
    <m/>
    <m/>
  </r>
  <r>
    <x v="201"/>
    <s v="Olivia "/>
    <s v="Villarreal"/>
    <s v="Villarreal "/>
    <s v="12144530-1"/>
    <d v="1969-02-05T00:00:00"/>
    <s v="569 5158782"/>
    <x v="2"/>
    <s v="Iglesia invitada"/>
    <s v="olivia.coty.v@gmail.com"/>
    <s v="Visita"/>
    <x v="4"/>
    <m/>
    <m/>
  </r>
  <r>
    <x v="202"/>
    <s v="Jonathan Fredy"/>
    <s v="Vogt"/>
    <s v="Vargas"/>
    <s v="15725610-6"/>
    <d v="1983-08-15T00:00:00"/>
    <s v="(+56953374372)"/>
    <x v="0"/>
    <s v="catedral de la alabanza coquimbo"/>
    <s v="jonathan.vogt.vargas@gmail.com"/>
    <s v="NN"/>
    <x v="6"/>
    <s v="MC"/>
    <m/>
  </r>
  <r>
    <x v="203"/>
    <s v="Gabriel "/>
    <s v="Gutiérrez "/>
    <s v="Caro"/>
    <s v="8092893-9"/>
    <d v="2025-04-18T00:00:00"/>
    <s v="+56999178891"/>
    <x v="0"/>
    <s v="Catedral de la Alabanza"/>
    <s v="gutierrezcaro60.gabriel@gmail.com"/>
    <s v="José Ferrada"/>
    <x v="9"/>
    <s v="MC"/>
    <m/>
  </r>
  <r>
    <x v="204"/>
    <s v="Luis "/>
    <s v="moya"/>
    <s v="carreño"/>
    <s v="5.818.622-8"/>
    <d v="1949-12-22T00:00:00"/>
    <s v="(+56996679870)"/>
    <x v="0"/>
    <s v="catedral de la alabanza coquimbo"/>
    <s v="pastor.luismoya@gmail.com"/>
    <s v="Catedral Coquimbo"/>
    <x v="6"/>
    <s v="MC"/>
    <m/>
  </r>
  <r>
    <x v="205"/>
    <s v="Roberto "/>
    <s v="Bravo"/>
    <s v="Hernandez"/>
    <n v="129476834"/>
    <d v="1976-04-26T00:00:00"/>
    <s v="+56972256256"/>
    <x v="0"/>
    <s v="Catedral de la Alabanza"/>
    <s v="roberto.bravo.h@gmail.com"/>
    <s v="Christian Jara"/>
    <x v="8"/>
    <s v="MC"/>
    <m/>
  </r>
  <r>
    <x v="206"/>
    <s v="Luciano"/>
    <s v="Palacios"/>
    <s v="Romero"/>
    <s v="22956654-7"/>
    <d v="2009-02-27T00:00:00"/>
    <s v="+56965727760"/>
    <x v="1"/>
    <s v="Catedral de la Alabanza"/>
    <s v="luciano.p.r2009@gmail.com"/>
    <s v="Estudiante"/>
    <x v="8"/>
    <s v="MC"/>
    <m/>
  </r>
  <r>
    <x v="207"/>
    <s v="Pedro"/>
    <s v="Vasquez"/>
    <s v="Betancur"/>
    <s v="6768768-k"/>
    <d v="1953-11-28T00:00:00"/>
    <s v="+56950060200"/>
    <x v="3"/>
    <s v="Iglesia invitada"/>
    <s v="Vasquez.betancur@gmail.com"/>
    <s v="Luminares"/>
    <x v="4"/>
    <m/>
    <m/>
  </r>
  <r>
    <x v="208"/>
    <s v="Maria Isabel"/>
    <s v="Gonzalez"/>
    <s v="Neira"/>
    <s v="8878455-3"/>
    <d v="1959-05-09T00:00:00"/>
    <s v="+56950060200"/>
    <x v="2"/>
    <s v="Iglesia invitada"/>
    <s v="Vasquez.betancur@gmail.com"/>
    <s v="Visita"/>
    <x v="4"/>
    <m/>
    <m/>
  </r>
  <r>
    <x v="209"/>
    <s v="Jessica"/>
    <s v="Gutiérrez"/>
    <s v="Irarrazaval "/>
    <s v="10139047-0"/>
    <d v="1962-07-05T00:00:00"/>
    <s v="+569 83215977"/>
    <x v="0"/>
    <s v="Catedral de la Alabanza"/>
    <s v="jekaguti@gmail.com"/>
    <m/>
    <x v="8"/>
    <s v="MC"/>
    <m/>
  </r>
  <r>
    <x v="210"/>
    <s v="Monica"/>
    <s v="Moya"/>
    <s v="Huerta"/>
    <s v="9249198-6"/>
    <d v="1964-01-07T00:00:00"/>
    <s v="±56968780927"/>
    <x v="0"/>
    <s v="Catedral de la Alabanza"/>
    <s v="moyamonica506@gmail.com"/>
    <s v="Flor Arcos"/>
    <x v="9"/>
    <s v="FS"/>
    <m/>
  </r>
  <r>
    <x v="211"/>
    <s v="Orlando"/>
    <s v="Pérez "/>
    <s v="Tirado"/>
    <s v="9521391-k"/>
    <d v="1962-09-17T00:00:00"/>
    <s v="±56968344184"/>
    <x v="0"/>
    <s v="Catedral de la Alabanza"/>
    <s v="orlando.perez.t62@gmail.com"/>
    <s v="Flor Arcos"/>
    <x v="9"/>
    <s v="FS"/>
    <m/>
  </r>
  <r>
    <x v="212"/>
    <s v="Ivonne Raquel "/>
    <s v="Rodríguez "/>
    <s v="Cruces "/>
    <s v="6835472-2"/>
    <d v="1952-01-12T00:00:00"/>
    <s v="+569 986690214"/>
    <x v="0"/>
    <s v="Catedral de la Alabanza"/>
    <s v="ivorodriguez2009@gmail.com "/>
    <s v="José Ferrada"/>
    <x v="8"/>
    <s v="FS"/>
    <m/>
  </r>
  <r>
    <x v="213"/>
    <s v="Barbara "/>
    <s v="López "/>
    <s v="Ahumada "/>
    <s v="16603941-k"/>
    <d v="1987-01-16T00:00:00"/>
    <s v="+56965942848"/>
    <x v="3"/>
    <s v="Iglesia invitada"/>
    <s v="barby141626@gmail.com"/>
    <m/>
    <x v="3"/>
    <m/>
    <m/>
  </r>
  <r>
    <x v="214"/>
    <s v="Pedro Jaime"/>
    <s v="Bustos"/>
    <s v="Aravena"/>
    <s v="9495859-8"/>
    <d v="1962-07-24T00:00:00"/>
    <s v="+56995344472"/>
    <x v="0"/>
    <s v="Catedral de la Alabanza"/>
    <s v="pbustos@jawa.cl"/>
    <s v="Flor Arcos"/>
    <x v="8"/>
    <s v="FS"/>
    <m/>
  </r>
  <r>
    <x v="215"/>
    <s v="Alexis "/>
    <s v="Macías "/>
    <s v="Calvio "/>
    <n v="203950470"/>
    <d v="1999-12-25T00:00:00"/>
    <n v="56743330"/>
    <x v="1"/>
    <s v="Catedral de la Alabanza"/>
    <s v="ae.macias.66@gmail.com"/>
    <s v="Estudiante"/>
    <x v="6"/>
    <s v="FS"/>
    <m/>
  </r>
  <r>
    <x v="216"/>
    <s v="Luis "/>
    <s v="Miño"/>
    <s v="Carcamo"/>
    <n v="184806592"/>
    <d v="1993-05-24T00:00:00"/>
    <n v="967014948"/>
    <x v="3"/>
    <s v="Iglesia invitada"/>
    <s v="Led.minoc@gmail.com"/>
    <s v="Luminares"/>
    <x v="8"/>
    <s v="FS"/>
    <m/>
  </r>
  <r>
    <x v="217"/>
    <s v="Genesis "/>
    <s v="Morales"/>
    <s v="Rupallan"/>
    <n v="179247496"/>
    <d v="1991-07-04T00:00:00"/>
    <s v="+56 9 3448 2079"/>
    <x v="3"/>
    <s v="Iglesia invitada"/>
    <s v="Genesismorales.r@gmail.com"/>
    <s v="Luminares"/>
    <x v="8"/>
    <s v="FS"/>
    <m/>
  </r>
  <r>
    <x v="218"/>
    <s v="Nicolás"/>
    <s v="Palacios"/>
    <s v="Romero"/>
    <n v="214655187"/>
    <d v="2003-12-15T00:00:00"/>
    <s v="+569 65368098"/>
    <x v="1"/>
    <s v="Catedral de la Alabanza"/>
    <s v="palaciosnicolas79@gmail.com"/>
    <s v="Estudiante"/>
    <x v="8"/>
    <s v="FS"/>
    <m/>
  </r>
  <r>
    <x v="219"/>
    <s v="Priscilla Solange"/>
    <s v="Araya"/>
    <s v="Mora "/>
    <s v="14126479-6 "/>
    <d v="1981-05-09T00:00:00"/>
    <s v="+569 99650714"/>
    <x v="3"/>
    <s v="Catedral de la Alabanza"/>
    <s v="Arayapriscilla102@gmail.com"/>
    <s v="Visita"/>
    <x v="9"/>
    <s v="FS"/>
    <m/>
  </r>
  <r>
    <x v="220"/>
    <s v="Sergio Cristian "/>
    <s v="Ancan"/>
    <s v="Rojas"/>
    <n v="132769079"/>
    <d v="1977-04-23T00:00:00"/>
    <s v="+56954206719"/>
    <x v="3"/>
    <s v="Iglesia invitada"/>
    <s v="Scar03202304@gmail.com"/>
    <s v="Otra Iglesia"/>
    <x v="8"/>
    <s v="FS"/>
    <m/>
  </r>
  <r>
    <x v="221"/>
    <s v="Nelson "/>
    <s v="Cofré "/>
    <s v="Reyes "/>
    <s v="11.270.134-6"/>
    <d v="1968-03-22T00:00:00"/>
    <s v="+56998718326"/>
    <x v="0"/>
    <s v="Catedral de la Alabanza"/>
    <s v="ncofre@gmail.com"/>
    <s v="NN"/>
    <x v="8"/>
    <s v="MC"/>
    <m/>
  </r>
  <r>
    <x v="222"/>
    <s v="Victor Diego"/>
    <s v="Elicer"/>
    <s v="Cortés"/>
    <s v="19310046-5"/>
    <d v="1996-07-12T00:00:00"/>
    <s v="+56954206698"/>
    <x v="3"/>
    <s v="Generación Diferente"/>
    <s v="velicercortes@gmail.com"/>
    <m/>
    <x v="3"/>
    <m/>
    <m/>
  </r>
  <r>
    <x v="223"/>
    <s v="Paola Andrea"/>
    <s v="Cordova"/>
    <s v="Martinez"/>
    <s v="10.720.023-1"/>
    <d v="1971-11-11T00:00:00"/>
    <s v="9-7106 1331"/>
    <x v="0"/>
    <s v="Catedral de la Alabanza"/>
    <s v="pola.cordova.mar@gmail.com"/>
    <s v="NN"/>
    <x v="9"/>
    <s v="MC"/>
    <m/>
  </r>
  <r>
    <x v="224"/>
    <s v="anamaria"/>
    <s v="troncoso"/>
    <s v="Lagos "/>
    <s v="13298135-3"/>
    <d v="1977-09-11T00:00:00"/>
    <n v="982481965"/>
    <x v="0"/>
    <s v="Catedral de la Alabanza"/>
    <s v="atroncosol@yahoo.com"/>
    <s v="José Ferrada"/>
    <x v="9"/>
    <s v="MC"/>
    <m/>
  </r>
  <r>
    <x v="225"/>
    <s v="Oscar Miguel"/>
    <s v="Arauna"/>
    <s v="Alvarado"/>
    <s v="12921454-6"/>
    <d v="1975-06-03T00:00:00"/>
    <n v="56944732412"/>
    <x v="0"/>
    <s v="Catedral de la Alabanza"/>
    <s v="oarauna@gmail.com"/>
    <s v="José Ferrada"/>
    <x v="9"/>
    <s v="MC"/>
    <m/>
  </r>
  <r>
    <x v="226"/>
    <s v="Josefina Esther"/>
    <s v="Arauna"/>
    <s v="troncoso"/>
    <s v="22341928-3"/>
    <d v="2007-03-03T00:00:00"/>
    <n v="944815167"/>
    <x v="1"/>
    <s v="Catedral de la Alabanza"/>
    <s v="oarauna@gmail.com"/>
    <s v="Estudiante"/>
    <x v="9"/>
    <s v="MC"/>
    <m/>
  </r>
  <r>
    <x v="227"/>
    <s v="Barbara "/>
    <s v="Cañete "/>
    <s v="Bustamante "/>
    <s v="13641012-1 "/>
    <d v="1979-11-06T00:00:00"/>
    <s v="+56944589428"/>
    <x v="0"/>
    <s v="Catedral de la Alabanza"/>
    <s v="Bcaneteb@gmail.com"/>
    <s v="NN"/>
    <x v="9"/>
    <s v="MC"/>
    <m/>
  </r>
  <r>
    <x v="228"/>
    <s v="Jhony"/>
    <s v="Órdenes"/>
    <s v="Sánchez "/>
    <n v="106805083"/>
    <d v="1971-03-02T00:00:00"/>
    <n v="998842659"/>
    <x v="0"/>
    <s v="Catedral de la Alabanza"/>
    <s v="j.ordenes@me.com"/>
    <s v="NN"/>
    <x v="9"/>
    <s v="MC"/>
    <m/>
  </r>
  <r>
    <x v="229"/>
    <s v="Rodrigo"/>
    <s v="Elgueta"/>
    <s v="Garcia"/>
    <s v="13928262-0"/>
    <d v="1980-04-25T00:00:00"/>
    <n v="932189243"/>
    <x v="0"/>
    <s v="Catedral de la Alabanza"/>
    <s v="relgueta1980@gmail.com"/>
    <s v="Flor Arcos"/>
    <x v="9"/>
    <s v="MC"/>
    <m/>
  </r>
  <r>
    <x v="230"/>
    <s v="Sebastián "/>
    <s v="Jara "/>
    <s v="Quezada "/>
    <n v="189934335"/>
    <d v="1995-02-26T00:00:00"/>
    <s v="+56 9 6635 6635"/>
    <x v="3"/>
    <s v="Persona invitada por alguien de catedral. "/>
    <s v="sebajara58@gmail.com"/>
    <s v="Visita"/>
    <x v="9"/>
    <m/>
    <m/>
  </r>
  <r>
    <x v="231"/>
    <s v="Adrián José "/>
    <s v="Sita"/>
    <s v="Salas"/>
    <s v="27541784-k"/>
    <d v="1987-10-30T00:00:00"/>
    <s v="+56 9 3533 1555"/>
    <x v="3"/>
    <s v="ICVR"/>
    <s v="sebemajoely@gmail.com"/>
    <s v="Visita"/>
    <x v="9"/>
    <s v="MC"/>
    <m/>
  </r>
  <r>
    <x v="232"/>
    <s v="Yasmeury Carolina"/>
    <s v="Colmenares "/>
    <s v="Pinto"/>
    <s v="27486136-3"/>
    <d v="1990-11-10T00:00:00"/>
    <s v="+56930235086"/>
    <x v="3"/>
    <s v="ICVR"/>
    <s v="sebemajoely@gmail.com"/>
    <s v="Visita"/>
    <x v="9"/>
    <s v="MC"/>
    <m/>
  </r>
  <r>
    <x v="233"/>
    <s v="Lucas"/>
    <s v="Marín"/>
    <s v="Lagos"/>
    <s v="23.048.925-4"/>
    <d v="2009-06-16T00:00:00"/>
    <s v="+56 9 7741 2955"/>
    <x v="1"/>
    <s v="Catedral de la Alabanza"/>
    <s v="lucasmarinlgos@gmail.com"/>
    <s v="Estudiante"/>
    <x v="10"/>
    <s v="FS"/>
    <m/>
  </r>
  <r>
    <x v="234"/>
    <s v="Ljubitza"/>
    <s v="Morales "/>
    <s v="Mora"/>
    <s v="13464300-5"/>
    <d v="1977-06-19T00:00:00"/>
    <s v="+569 68550633"/>
    <x v="6"/>
    <s v="Iglesia invitada"/>
    <s v="Ljubitzamm@hotmail.cl"/>
    <m/>
    <x v="4"/>
    <m/>
    <m/>
  </r>
  <r>
    <x v="235"/>
    <s v="Victoria "/>
    <s v="Saavedra "/>
    <s v="Morales "/>
    <s v="22203394-2"/>
    <d v="2006-09-01T00:00:00"/>
    <s v="+569 47471321"/>
    <x v="5"/>
    <s v="Iglesia invitada"/>
    <s v="Victoriasaavedra068@gmail.com"/>
    <m/>
    <x v="4"/>
    <m/>
    <m/>
  </r>
  <r>
    <x v="236"/>
    <s v="Ljubitza "/>
    <s v="Saavedra "/>
    <s v="Morales"/>
    <s v="20426487-2"/>
    <d v="1999-12-30T00:00:00"/>
    <s v="+569 99858333"/>
    <x v="5"/>
    <s v="Iglesia invitada"/>
    <s v="Abimoorales80@gmail.com"/>
    <m/>
    <x v="4"/>
    <m/>
    <m/>
  </r>
  <r>
    <x v="237"/>
    <s v="Felipe "/>
    <s v="Nahuelán"/>
    <s v="Mella"/>
    <n v="182205680"/>
    <d v="1992-05-19T00:00:00"/>
    <s v="+56953123427"/>
    <x v="0"/>
    <s v="Catedral de la Alabanza"/>
    <s v="felipe.nahm@gmail.com"/>
    <m/>
    <x v="4"/>
    <m/>
    <s v="OK pago"/>
  </r>
  <r>
    <x v="238"/>
    <s v="Angela"/>
    <s v="Montes de Oca"/>
    <s v="Ponce "/>
    <s v="8680884-&amp;"/>
    <d v="1958-10-16T00:00:00"/>
    <s v="+56996949000"/>
    <x v="2"/>
    <s v="Catedral de la Alabanza"/>
    <s v="Angela.montesdeoxa86@gmail.com"/>
    <s v="José Ferrada"/>
    <x v="4"/>
    <m/>
    <m/>
  </r>
  <r>
    <x v="239"/>
    <s v="Javiera Valentina "/>
    <s v="Lobos "/>
    <s v="Aguilera"/>
    <n v="201471303"/>
    <d v="1999-08-08T00:00:00"/>
    <s v="+56976679394"/>
    <x v="0"/>
    <s v="Catedral de la Alabanza"/>
    <s v="Agataspiegelman@gmail.com"/>
    <m/>
    <x v="3"/>
    <m/>
    <m/>
  </r>
  <r>
    <x v="240"/>
    <s v="Diego"/>
    <s v="Salinas"/>
    <s v="Lagos"/>
    <s v="23.219.783-8"/>
    <d v="2010-01-05T00:00:00"/>
    <s v="+56 9 56690443"/>
    <x v="1"/>
    <s v="Catedral de la Alabanza"/>
    <s v="diego767salinas@gmail.com"/>
    <s v="Estudiante"/>
    <x v="9"/>
    <s v="MC"/>
    <m/>
  </r>
  <r>
    <x v="241"/>
    <s v="Diana "/>
    <s v="Mayorga "/>
    <s v="Duarte"/>
    <s v="200131678-8"/>
    <d v="1984-07-14T00:00:00"/>
    <s v="+56929273906"/>
    <x v="3"/>
    <s v="Iglesia invitada"/>
    <s v="dianamayorgafx@gmail.com"/>
    <m/>
    <x v="3"/>
    <m/>
    <m/>
  </r>
  <r>
    <x v="242"/>
    <s v="Aaron "/>
    <s v="Elgueta"/>
    <s v="Solar"/>
    <s v="20561814-7"/>
    <d v="2002-06-15T00:00:00"/>
    <s v="+56987490807"/>
    <x v="1"/>
    <s v="Catedral de la Alabanza"/>
    <s v="aaronelguetasolar@gmail.com"/>
    <s v="Estudiante"/>
    <x v="9"/>
    <s v="MC"/>
    <m/>
  </r>
  <r>
    <x v="243"/>
    <s v="hugo hernan"/>
    <s v="soto"/>
    <s v="peredo"/>
    <s v="13477499-1"/>
    <d v="1978-04-20T00:00:00"/>
    <n v="74994820"/>
    <x v="0"/>
    <s v="Catedral de la Alabanza"/>
    <s v="hugonatural@gmail.com"/>
    <s v="Flor Arcos"/>
    <x v="9"/>
    <s v="MC"/>
    <m/>
  </r>
  <r>
    <x v="244"/>
    <s v="Diego "/>
    <s v="Palta"/>
    <s v="Morales"/>
    <n v="220607070"/>
    <d v="2006-02-23T00:00:00"/>
    <n v="959956644"/>
    <x v="5"/>
    <s v="Catedral de la Alabanza"/>
    <s v="paltamoralesd@gmail.com"/>
    <m/>
    <x v="4"/>
    <m/>
    <m/>
  </r>
  <r>
    <x v="245"/>
    <s v="Felipe Andres"/>
    <s v="Silva"/>
    <s v="Urra"/>
    <s v="19576137-K"/>
    <d v="1997-08-07T00:00:00"/>
    <s v="+56968421604"/>
    <x v="0"/>
    <s v="Catedral de la Alabanza"/>
    <s v="felippe.silvau@gmail.com"/>
    <m/>
    <x v="0"/>
    <s v="X"/>
    <m/>
  </r>
  <r>
    <x v="246"/>
    <s v="Jose"/>
    <s v="Guerra"/>
    <s v="Riveros"/>
    <s v="8.767.782-6"/>
    <d v="1960-01-05T00:00:00"/>
    <n v="989208925"/>
    <x v="0"/>
    <s v="Catedral de la Alabanza"/>
    <s v="guerrariverosjose@gmail.com"/>
    <s v="Flor Arcos"/>
    <x v="9"/>
    <s v="MC"/>
    <m/>
  </r>
  <r>
    <x v="247"/>
    <s v="Hector. Alberto"/>
    <s v="Sandoval"/>
    <s v="Piña"/>
    <s v="13285328-2"/>
    <d v="1977-02-27T00:00:00"/>
    <s v="+ 56 9 82289419"/>
    <x v="0"/>
    <s v="Catedral de la Alabanza"/>
    <s v="Albertosandovalpina@gmail.com"/>
    <s v="Juan Manuel Caro"/>
    <x v="10"/>
    <s v="FS"/>
    <m/>
  </r>
  <r>
    <x v="248"/>
    <s v="Carolina"/>
    <s v="Gallardo"/>
    <s v="Gómez"/>
    <n v="182480037"/>
    <d v="1992-10-26T00:00:00"/>
    <s v="+56 9 74015098"/>
    <x v="0"/>
    <s v="Catedral de la Alabanza"/>
    <s v="GALLARDOCAROLINA.AG@GMAIL.COM"/>
    <s v="NN"/>
    <x v="10"/>
    <s v="MC"/>
    <m/>
  </r>
  <r>
    <x v="249"/>
    <s v="Elizabeth "/>
    <s v="Oyarce"/>
    <s v="Sanhueza"/>
    <s v="12900106-2"/>
    <d v="1975-11-04T00:00:00"/>
    <s v="+56977917381"/>
    <x v="0"/>
    <s v="Catedral de la Alabanza"/>
    <s v="eoyarce@ingenieriasye.cl"/>
    <s v="Christian Jara"/>
    <x v="10"/>
    <s v="FS"/>
    <m/>
  </r>
  <r>
    <x v="250"/>
    <s v="Bastian"/>
    <s v="Gutierrez"/>
    <s v="Galvez"/>
    <s v="18.293.455-0"/>
    <d v="1992-09-08T00:00:00"/>
    <s v="+56973766076"/>
    <x v="0"/>
    <s v="Catedral de la Alabanza"/>
    <s v="bastian.gutierrez1@gmail.com"/>
    <m/>
    <x v="8"/>
    <s v="MC"/>
    <m/>
  </r>
  <r>
    <x v="251"/>
    <s v="Cecilia "/>
    <s v="Cabrera "/>
    <s v="Carreño"/>
    <n v="126717792"/>
    <d v="1974-11-07T00:00:00"/>
    <s v="+56962097243"/>
    <x v="0"/>
    <s v="Catedral de la Alabanza"/>
    <s v="Ccabrerac@gmail.com"/>
    <s v="NN"/>
    <x v="10"/>
    <s v="MC"/>
    <m/>
  </r>
  <r>
    <x v="252"/>
    <s v="Karla"/>
    <s v="Labra"/>
    <s v="Urra"/>
    <s v="19290000-k"/>
    <d v="1995-12-26T00:00:00"/>
    <n v="991020736"/>
    <x v="0"/>
    <s v="Catedral de la Alabanza"/>
    <s v="kalabra@uc.cl"/>
    <s v="Flor Arcos"/>
    <x v="10"/>
    <s v="MC"/>
    <m/>
  </r>
  <r>
    <x v="253"/>
    <s v="Antonia"/>
    <s v="Navarrete"/>
    <s v="Riveros"/>
    <n v="220194906"/>
    <d v="2006-01-11T00:00:00"/>
    <n v="52063164"/>
    <x v="1"/>
    <s v="Catedral de la Alabanza"/>
    <s v="aantonnr@gmail.com"/>
    <s v="Estudiante"/>
    <x v="10"/>
    <s v="NR"/>
    <m/>
  </r>
  <r>
    <x v="254"/>
    <s v="Andrés "/>
    <s v="Barrera"/>
    <s v="Alvarez"/>
    <n v="191624602"/>
    <d v="1995-07-11T00:00:00"/>
    <n v="78584850"/>
    <x v="0"/>
    <s v="Catedral de la Alabanza"/>
    <s v="andresb.jba@gmail.com"/>
    <s v="Flor Arcos"/>
    <x v="10"/>
    <s v="MC"/>
    <m/>
  </r>
  <r>
    <x v="255"/>
    <s v="Felipe "/>
    <s v="Ahumada"/>
    <s v="García"/>
    <s v="17776735-2"/>
    <d v="1990-10-21T00:00:00"/>
    <s v="+56965802575"/>
    <x v="0"/>
    <s v="Iglesia invitada"/>
    <s v="felipe.ahumada.garcia@gmail.com"/>
    <s v="Visita"/>
    <x v="10"/>
    <s v="MC"/>
    <m/>
  </r>
  <r>
    <x v="256"/>
    <s v="Cesar"/>
    <s v="Maerten"/>
    <s v="Valdivia"/>
    <n v="130577083"/>
    <d v="1976-12-15T00:00:00"/>
    <n v="990946980"/>
    <x v="0"/>
    <s v="Catedral de la Alabanza"/>
    <s v="maerten01@gmail.com"/>
    <s v="NN"/>
    <x v="10"/>
    <s v="MC"/>
    <m/>
  </r>
  <r>
    <x v="257"/>
    <s v="Claudia "/>
    <s v="Acosta"/>
    <s v="Torrealba"/>
    <n v="107394303"/>
    <d v="1970-07-25T00:00:00"/>
    <s v="+569 82836971"/>
    <x v="0"/>
    <s v="Catedral de la Alabanza"/>
    <s v="Catorrealba@gmail.com"/>
    <s v="Christian Jara"/>
    <x v="10"/>
    <s v="NC"/>
    <m/>
  </r>
  <r>
    <x v="258"/>
    <s v="Patricia "/>
    <s v="Rozas "/>
    <s v="Aliaga"/>
    <s v="6278254-4 "/>
    <d v="1955-01-07T00:00:00"/>
    <n v="951497503"/>
    <x v="0"/>
    <s v="Catedral de la Alabanza"/>
    <s v="patarosas@gmail.com"/>
    <s v="Flor Arcos"/>
    <x v="10"/>
    <s v="FS"/>
    <m/>
  </r>
  <r>
    <x v="259"/>
    <s v="Danny "/>
    <s v="Chávez "/>
    <s v="Garrido"/>
    <n v="173853459"/>
    <d v="1990-05-31T00:00:00"/>
    <n v="963169521"/>
    <x v="6"/>
    <s v="Catedral de la Alabanza"/>
    <s v="dchavez.g90@gmail.com"/>
    <m/>
    <x v="4"/>
    <m/>
    <m/>
  </r>
  <r>
    <x v="260"/>
    <s v="Jorge"/>
    <s v="Arriagada"/>
    <s v="Lopez"/>
    <s v="10.831.002-2"/>
    <d v="1968-11-08T00:00:00"/>
    <n v="93437625"/>
    <x v="3"/>
    <s v="Catedral de la Alabanza"/>
    <s v="Jarriagada@artecsillas.cl"/>
    <s v="NN"/>
    <x v="9"/>
    <s v="MC"/>
    <m/>
  </r>
  <r>
    <x v="261"/>
    <s v="Ricardo"/>
    <s v="Jopia"/>
    <s v="Gutierrez "/>
    <s v="17775168-5"/>
    <d v="1990-09-21T00:00:00"/>
    <s v="+56963528595"/>
    <x v="0"/>
    <s v="Catedral de la Alabanza"/>
    <s v="ricardojopia.21@gmail.com"/>
    <s v="NN"/>
    <x v="9"/>
    <s v="FS"/>
    <m/>
  </r>
  <r>
    <x v="262"/>
    <s v="Daniel"/>
    <s v="Pino"/>
    <s v="Gatica"/>
    <s v="16958093-6"/>
    <d v="1989-03-09T00:00:00"/>
    <s v="+56961636425"/>
    <x v="0"/>
    <s v="Catedral de la Alabanza"/>
    <s v="daniel.pino.gatica@gmail.com"/>
    <s v="NN"/>
    <x v="10"/>
    <s v="FS"/>
    <m/>
  </r>
  <r>
    <x v="263"/>
    <s v="Rodrigo"/>
    <s v="Quintanilla"/>
    <s v="Ugalde"/>
    <n v="142466287"/>
    <d v="1974-09-07T00:00:00"/>
    <n v="77069621"/>
    <x v="3"/>
    <s v="Iglesia invitada"/>
    <s v="rodrigo.quintanilla@gmail.com"/>
    <s v="Catedral Peñaflor"/>
    <x v="10"/>
    <s v="FS"/>
    <m/>
  </r>
  <r>
    <x v="264"/>
    <s v="Catalina"/>
    <s v="Calfil"/>
    <s v="Silva"/>
    <s v="17413494-4"/>
    <d v="1989-11-14T00:00:00"/>
    <n v="930974006"/>
    <x v="0"/>
    <s v="Catedral de la Alabanza"/>
    <s v="Calfil.catalina@gmail.com"/>
    <s v="NN"/>
    <x v="10"/>
    <s v="FS"/>
    <m/>
  </r>
  <r>
    <x v="265"/>
    <s v="Paz"/>
    <s v="Maerten"/>
    <s v="Soto"/>
    <s v="23809483-6 "/>
    <d v="2011-12-01T00:00:00"/>
    <n v="990946980"/>
    <x v="1"/>
    <s v="Catedral de la Alabanza"/>
    <s v="pachi122011@gmail.com"/>
    <s v="Estudiante"/>
    <x v="10"/>
    <s v="FS"/>
    <m/>
  </r>
  <r>
    <x v="266"/>
    <s v="Marisol "/>
    <s v="Martínez"/>
    <s v="Berríos"/>
    <n v="107819916"/>
    <d v="1967-02-15T00:00:00"/>
    <n v="977660292"/>
    <x v="0"/>
    <s v="Catedral de la Alabanza"/>
    <s v="marisolmartinez8993@gmail.com"/>
    <m/>
    <x v="4"/>
    <m/>
    <m/>
  </r>
  <r>
    <x v="267"/>
    <s v="Eduardo"/>
    <s v="Castro"/>
    <s v="Marcoleta"/>
    <s v="20939196-1"/>
    <d v="2001-12-19T00:00:00"/>
    <s v="+56953074431"/>
    <x v="1"/>
    <s v="Catedral de la Alabanza"/>
    <s v="pgrr.ckie@gmail.com"/>
    <s v="Estudiante"/>
    <x v="10"/>
    <s v="FS"/>
    <m/>
  </r>
  <r>
    <x v="268"/>
    <s v="Marco "/>
    <s v="Herrera"/>
    <s v="Urrutia"/>
    <s v="11.264.179-3"/>
    <d v="1967-11-23T00:00:00"/>
    <s v="+56975789028"/>
    <x v="0"/>
    <s v="Catedral de la Alabanza"/>
    <s v="mherrera@lascondes.cl"/>
    <s v="Flor Arcos"/>
    <x v="10"/>
    <s v="NC"/>
    <s v="llego"/>
  </r>
  <r>
    <x v="269"/>
    <s v="Miguel "/>
    <s v="Mesa"/>
    <s v="Diaz"/>
    <s v="12.892.266-0"/>
    <d v="1975-10-09T00:00:00"/>
    <s v="+569 79315235"/>
    <x v="3"/>
    <s v="Catedral de la Alabanza"/>
    <s v="jmesa205@gmail.com"/>
    <s v="Visita"/>
    <x v="10"/>
    <s v="FS"/>
    <m/>
  </r>
  <r>
    <x v="270"/>
    <s v="Luz dqry"/>
    <s v="Amu"/>
    <s v="Castillo"/>
    <s v="24168341-9"/>
    <d v="1972-03-30T00:00:00"/>
    <n v="981212744"/>
    <x v="0"/>
    <s v="Catedral de la Alabanza"/>
    <s v="luzdaryamucastillo@gmail.com"/>
    <m/>
    <x v="3"/>
    <m/>
    <m/>
  </r>
  <r>
    <x v="271"/>
    <s v="Angelica"/>
    <s v="Bobadilla"/>
    <s v="Diaz"/>
    <s v="9068051-k"/>
    <s v="7/29/0060"/>
    <s v="+56950579970"/>
    <x v="0"/>
    <s v="Catedral de la Alabanza"/>
    <s v="angelita142009@gmail.com"/>
    <s v="José Ferrada"/>
    <x v="10"/>
    <s v="FS"/>
    <m/>
  </r>
  <r>
    <x v="272"/>
    <s v="Hugo"/>
    <s v="Amaya"/>
    <s v="Galdames"/>
    <s v="7844214-k"/>
    <s v="1/9/0059"/>
    <s v="+56998218606"/>
    <x v="0"/>
    <s v="Catedral de la Alabanza"/>
    <s v="huguito-amaya@hotmail.com"/>
    <s v="José Ferrada"/>
    <x v="10"/>
    <s v="FS"/>
    <m/>
  </r>
  <r>
    <x v="273"/>
    <s v="Pablo"/>
    <s v="Chacón "/>
    <s v="Aguirre"/>
    <s v="17047467-8 "/>
    <d v="1988-07-11T00:00:00"/>
    <s v="+56948686388"/>
    <x v="3"/>
    <s v="Iglesia invitada"/>
    <s v="palini.xacon@gmail.com"/>
    <s v="Visita"/>
    <x v="10"/>
    <s v="FS"/>
    <m/>
  </r>
  <r>
    <x v="274"/>
    <s v="Samuel"/>
    <s v="Vasquez "/>
    <s v="Castillo "/>
    <s v="16.790.932-9"/>
    <d v="1987-02-07T00:00:00"/>
    <s v="+56978281570"/>
    <x v="0"/>
    <s v="Iglesia invitada"/>
    <s v="Sammu.drs@gmail.com"/>
    <s v="Luminares"/>
    <x v="4"/>
    <m/>
    <m/>
  </r>
  <r>
    <x v="275"/>
    <s v="Benjamin"/>
    <s v="Navarrete"/>
    <s v="Riveros "/>
    <s v="22910611-2"/>
    <d v="2008-12-23T00:00:00"/>
    <n v="82196968"/>
    <x v="1"/>
    <s v="Catedral de la Alabanza"/>
    <s v="benjamon0999@gmail.com"/>
    <s v="Estudiante"/>
    <x v="10"/>
    <s v="NC"/>
    <m/>
  </r>
  <r>
    <x v="276"/>
    <s v="Angie"/>
    <s v="Luna"/>
    <s v="Ropero"/>
    <n v="256578549"/>
    <d v="1989-07-07T00:00:00"/>
    <s v="+56962787865"/>
    <x v="0"/>
    <s v="Catedral de la Alabanza"/>
    <s v="Angieluna649@gmail.com"/>
    <s v="NN"/>
    <x v="10"/>
    <s v="FS"/>
    <m/>
  </r>
  <r>
    <x v="277"/>
    <s v="Lucas "/>
    <s v="Riveros"/>
    <s v="Palominos "/>
    <n v="193167772"/>
    <d v="1995-10-16T00:00:00"/>
    <s v="+56933774526"/>
    <x v="0"/>
    <s v="Catedral de la Alabanza"/>
    <s v="lucasriveros.twifac@gmail.com"/>
    <s v="NN"/>
    <x v="10"/>
    <s v="FS"/>
    <m/>
  </r>
  <r>
    <x v="278"/>
    <s v="Paula "/>
    <s v="Rodríguez "/>
    <s v="Bustos "/>
    <n v="189258240"/>
    <d v="1994-09-08T00:00:00"/>
    <s v="+56933774526"/>
    <x v="0"/>
    <s v="Catedral de la Alabanza"/>
    <s v="lucasriveros.twifac@gmail.com"/>
    <s v="Flor Arcos"/>
    <x v="10"/>
    <s v="FS"/>
    <s v="llego"/>
  </r>
  <r>
    <x v="279"/>
    <s v="Katherine "/>
    <s v="Soto"/>
    <s v="Muñoz "/>
    <n v="101601579"/>
    <d v="1966-01-12T00:00:00"/>
    <s v="+56996569835"/>
    <x v="0"/>
    <s v="Catedral de la Alabanza"/>
    <s v="klsotom@gmail.com"/>
    <s v="José Ferrada"/>
    <x v="13"/>
    <s v="NC"/>
    <m/>
  </r>
  <r>
    <x v="280"/>
    <s v="ERICO"/>
    <s v="DOMENE"/>
    <s v="YOST"/>
    <n v="85469983"/>
    <s v="10/27/1696"/>
    <s v="+56928855751"/>
    <x v="0"/>
    <s v="Iglesia invitada"/>
    <s v="domeneyost@gmail.com"/>
    <s v="Visita"/>
    <x v="10"/>
    <s v="FS"/>
    <m/>
  </r>
  <r>
    <x v="281"/>
    <s v="Catalina"/>
    <s v="Villarroel"/>
    <s v="Soto"/>
    <n v="233103616"/>
    <d v="2010-04-30T00:00:00"/>
    <s v="+56996569835"/>
    <x v="1"/>
    <s v="Catedral de la Alabanza"/>
    <s v="catalinasofiavillarroelsoto@gmail.com"/>
    <s v="Estudiante"/>
    <x v="10"/>
    <s v="FS"/>
    <m/>
  </r>
  <r>
    <x v="282"/>
    <s v="Marcos"/>
    <s v="Ribeiro"/>
    <s v="Salinas"/>
    <n v="179501783"/>
    <d v="1979-06-22T00:00:00"/>
    <s v="+569 66513963"/>
    <x v="0"/>
    <s v="Catedral de la Alabanza"/>
    <s v="Tribedesign@gmail.com"/>
    <s v="NN"/>
    <x v="10"/>
    <s v="FS"/>
    <m/>
  </r>
  <r>
    <x v="283"/>
    <s v="Vladimir"/>
    <s v="Luna"/>
    <s v="Rocha"/>
    <n v="106638802"/>
    <d v="1974-10-08T00:00:00"/>
    <n v="66091977"/>
    <x v="0"/>
    <s v="Catedral de la Alabanza"/>
    <s v="Valr081074@gmail.com"/>
    <s v="NN"/>
    <x v="10"/>
    <s v="NR"/>
    <m/>
  </r>
  <r>
    <x v="284"/>
    <s v="Mayra"/>
    <s v="Luna"/>
    <s v="Cifuentes"/>
    <n v="208459821"/>
    <d v="2001-09-09T00:00:00"/>
    <n v="66091977"/>
    <x v="1"/>
    <s v="Catedral de la Alabanza"/>
    <s v="Valr081074@gmail.com"/>
    <s v="Estudiante"/>
    <x v="10"/>
    <s v="NR"/>
    <m/>
  </r>
  <r>
    <x v="285"/>
    <s v="MARCELO "/>
    <s v="ROJAS"/>
    <s v="SANCHEZ"/>
    <s v="11.501.108-1"/>
    <d v="1969-07-06T00:00:00"/>
    <s v="+56997336957"/>
    <x v="1"/>
    <s v="Catedral de la Alabanza"/>
    <s v="mprsventas@hotmail.com"/>
    <s v="NN"/>
    <x v="10"/>
    <s v="NC"/>
    <m/>
  </r>
  <r>
    <x v="286"/>
    <s v="Monserrat "/>
    <s v="González "/>
    <s v="Chavarria "/>
    <s v="21146156-k"/>
    <d v="2002-10-08T00:00:00"/>
    <s v="+56966304838"/>
    <x v="1"/>
    <s v="Catedral de la Alabanza"/>
    <s v="monserrat.chavarria47@gmail.com"/>
    <s v="Estudiante"/>
    <x v="10"/>
    <s v="NC"/>
    <m/>
  </r>
  <r>
    <x v="287"/>
    <s v="Gabriela "/>
    <s v="Dominguez"/>
    <s v="Espina"/>
    <n v="260927361"/>
    <d v="1991-05-22T00:00:00"/>
    <s v="+56956507023"/>
    <x v="3"/>
    <s v="Catolica"/>
    <s v="Mariadomesp@gmail.com"/>
    <s v="Visita"/>
    <x v="10"/>
    <s v="NR"/>
    <m/>
  </r>
  <r>
    <x v="288"/>
    <s v="Gladys "/>
    <s v="Jara "/>
    <s v="Nome "/>
    <s v="5484333k"/>
    <d v="1949-09-20T00:00:00"/>
    <n v="974542352"/>
    <x v="0"/>
    <s v="Catedral de la Alabanza"/>
    <s v="yasminmesias@hotmail.com"/>
    <s v="Christian Jara"/>
    <x v="4"/>
    <m/>
    <m/>
  </r>
  <r>
    <x v="289"/>
    <s v="Enzo"/>
    <s v="Romanini"/>
    <s v="Romanini"/>
    <s v="6.556.077-1"/>
    <d v="1958-08-12T00:00:00"/>
    <s v="+5691234567"/>
    <x v="3"/>
    <s v="Catedral de la Alabanza"/>
    <s v="enzo@romaninibus.cl"/>
    <s v="Visita"/>
    <x v="10"/>
    <m/>
    <m/>
  </r>
  <r>
    <x v="290"/>
    <s v="Alessandro"/>
    <s v="Romanini "/>
    <s v="Dupont"/>
    <s v="17.271.703-9"/>
    <d v="1990-02-05T00:00:00"/>
    <s v="+5691234567"/>
    <x v="3"/>
    <s v="Catedral de la Alabanza"/>
    <s v="alessandro@romaninibus.cl"/>
    <s v="Visita"/>
    <x v="10"/>
    <m/>
    <m/>
  </r>
  <r>
    <x v="291"/>
    <s v="Magdalena "/>
    <s v="Troncoso"/>
    <s v="Aránguiz"/>
    <s v="23500375-9"/>
    <d v="2010-12-10T00:00:00"/>
    <s v="+56945877533"/>
    <x v="1"/>
    <s v="Catedral de la Alabanza"/>
    <s v="magdalena.g.troncoso@gmail.com"/>
    <s v="NN"/>
    <x v="10"/>
    <s v="NR"/>
    <m/>
  </r>
  <r>
    <x v="292"/>
    <s v="Ivonne"/>
    <s v="Aviles"/>
    <s v="Gonzalez"/>
    <s v="8.598.446-2"/>
    <d v="1966-10-02T00:00:00"/>
    <s v="+56977640643"/>
    <x v="0"/>
    <s v="Catedral de la Alabanza"/>
    <s v="Yvonestey123@hotmail.com"/>
    <s v="Flor Arcos"/>
    <x v="10"/>
    <s v="NC"/>
    <m/>
  </r>
  <r>
    <x v="293"/>
    <s v="Abhishek"/>
    <s v="Diaz"/>
    <s v="Alberstad"/>
    <s v="23783479-8"/>
    <d v="2011-10-28T00:00:00"/>
    <s v="56 9 9985 0450"/>
    <x v="1"/>
    <s v="Catedral de la Alabanza"/>
    <s v="abhishek.diaz@educacionadventista.cl"/>
    <s v="Estudiante"/>
    <x v="10"/>
    <s v="NR"/>
    <m/>
  </r>
  <r>
    <x v="293"/>
    <s v="Daniela"/>
    <s v="Aranguiz"/>
    <s v="Negrete"/>
    <s v="14183916-0"/>
    <d v="1981-04-28T00:00:00"/>
    <s v="56 9 9684 4212"/>
    <x v="0"/>
    <s v="Catedral de la Alabanza"/>
    <s v="danielaranguiz81@gmail.com"/>
    <s v="Christian Jara"/>
    <x v="10"/>
    <s v="NC"/>
    <s v="llego"/>
  </r>
  <r>
    <x v="293"/>
    <s v="Marcelo "/>
    <s v="Rocha"/>
    <s v="Sepulveda"/>
    <s v="18.866.043-6"/>
    <d v="1996-06-14T00:00:00"/>
    <s v="+5691234567"/>
    <x v="3"/>
    <s v="Catedral de la Alabanza"/>
    <s v="Marcelo@romaninibus.cl"/>
    <s v="Visita"/>
    <x v="10"/>
    <s v="NR"/>
    <m/>
  </r>
  <r>
    <x v="293"/>
    <s v="Maria Elena"/>
    <s v="Alberstad"/>
    <s v="Alberstad"/>
    <s v="14551318-9"/>
    <d v="1970-05-18T00:00:00"/>
    <s v="56 9 9985 0450"/>
    <x v="0"/>
    <s v="Catedral de la Alabanza"/>
    <s v="Profeenmision2020@gmail.com"/>
    <s v="José Ferrada"/>
    <x v="10"/>
    <s v="NR"/>
    <m/>
  </r>
  <r>
    <x v="293"/>
    <s v="Mariana "/>
    <s v="Espinoza"/>
    <s v="Aranguiz"/>
    <s v="23651804-3"/>
    <d v="2011-05-25T00:00:00"/>
    <s v="56 9 9684 4212"/>
    <x v="1"/>
    <s v="Catedral de la Alabanza"/>
    <s v="marianaespar2011@gmail.com"/>
    <s v="Christian Jara"/>
    <x v="10"/>
    <s v="NC"/>
    <m/>
  </r>
  <r>
    <x v="293"/>
    <s v="Mauricio"/>
    <s v="Espinoza"/>
    <s v="Martinez"/>
    <s v="14118084-3"/>
    <d v="1981-01-02T00:00:00"/>
    <s v="56 9 9684 4212"/>
    <x v="0"/>
    <s v="Catedral de la Alabanza"/>
    <s v="mauricioespinoza3281@gmail.com"/>
    <s v="Christian Jara"/>
    <x v="10"/>
    <s v="NC"/>
    <m/>
  </r>
  <r>
    <x v="294"/>
    <s v="Luis "/>
    <s v="Ramos"/>
    <s v="Espinoza "/>
    <m/>
    <m/>
    <m/>
    <x v="0"/>
    <s v="Catedral de la alabanza "/>
    <m/>
    <s v="José Ferrada"/>
    <x v="4"/>
    <m/>
    <m/>
  </r>
  <r>
    <x v="294"/>
    <s v="Samuel "/>
    <s v="Jara "/>
    <m/>
    <m/>
    <m/>
    <m/>
    <x v="2"/>
    <m/>
    <m/>
    <m/>
    <x v="4"/>
    <m/>
    <n v="7000"/>
  </r>
  <r>
    <x v="295"/>
    <s v="Juan "/>
    <s v="Rivera"/>
    <s v="Espinosa"/>
    <n v="172861822"/>
    <d v="1989-05-19T00:00:00"/>
    <s v="+56 9 50616900"/>
    <x v="0"/>
    <s v="Catedral de la Alabanza"/>
    <s v="Juangabrielriveraespinosa@gmail.com"/>
    <s v="Christian Jara"/>
    <x v="4"/>
    <m/>
    <m/>
  </r>
  <r>
    <x v="295"/>
    <s v="Tiare"/>
    <s v="Lara"/>
    <s v="Zagal"/>
    <n v="181850558"/>
    <m/>
    <n v="56950079090"/>
    <x v="0"/>
    <s v="Catedral de la Alabanza"/>
    <s v="Zagaltiarelara@gmail.com"/>
    <s v="Christian Jara"/>
    <x v="4"/>
    <m/>
    <m/>
  </r>
  <r>
    <x v="296"/>
    <s v="Joaquin"/>
    <s v="Caroca"/>
    <s v="Gonzalez"/>
    <n v="199969870"/>
    <d v="1998-10-13T00:00:00"/>
    <s v="+56939298406"/>
    <x v="0"/>
    <s v="Catedral de la Alabanza"/>
    <s v="juaco_9_98@hotmail.com"/>
    <s v="Christian Jara"/>
    <x v="4"/>
    <m/>
    <m/>
  </r>
  <r>
    <x v="297"/>
    <s v="Constanza "/>
    <s v="Marín "/>
    <s v="Lagos"/>
    <s v="20826475-3"/>
    <d v="2001-07-24T00:00:00"/>
    <s v="+56984464853"/>
    <x v="0"/>
    <s v="Catedral de la Alabanza"/>
    <s v="constanzabmarin@gmail.com"/>
    <s v="NN"/>
    <x v="4"/>
    <m/>
    <m/>
  </r>
  <r>
    <x v="298"/>
    <s v="samuel"/>
    <s v="romero"/>
    <s v="mendoza"/>
    <n v="233110299"/>
    <d v="2010-05-01T00:00:00"/>
    <n v="86232526"/>
    <x v="1"/>
    <s v="Catedral de la Alabanza"/>
    <s v="samuel.romero.mendosa.jeremia@gmail.com"/>
    <m/>
    <x v="4"/>
    <m/>
    <s v="OK pago"/>
  </r>
  <r>
    <x v="299"/>
    <s v="Rosa"/>
    <s v="Salinas"/>
    <s v="Palma"/>
    <n v="79870315"/>
    <d v="1959-07-15T00:00:00"/>
    <s v="+569 88487700"/>
    <x v="0"/>
    <s v="Catedral de la Alabanza"/>
    <s v="rositaesp59@gmail.com"/>
    <s v="NN"/>
    <x v="4"/>
    <m/>
    <m/>
  </r>
  <r>
    <x v="300"/>
    <s v="Isabel "/>
    <s v="Sandoval"/>
    <s v="Aguayo "/>
    <s v="6755607-0"/>
    <d v="1950-11-09T00:00:00"/>
    <n v="56979127659"/>
    <x v="0"/>
    <s v="Catedral de la Alabanza"/>
    <s v="Isabelsandovalaguayo77@gmail.com"/>
    <s v="NN"/>
    <x v="4"/>
    <m/>
    <m/>
  </r>
  <r>
    <x v="301"/>
    <s v="Rosa"/>
    <s v="Chavarria"/>
    <s v="Castro"/>
    <n v="113153458"/>
    <d v="1968-02-22T00:00:00"/>
    <s v="+569 87238821"/>
    <x v="0"/>
    <s v="Catedral de la Alabanza"/>
    <s v="chavarria.rosa@gmail.com"/>
    <s v="NN"/>
    <x v="4"/>
    <m/>
    <m/>
  </r>
  <r>
    <x v="302"/>
    <s v="Rodrigo"/>
    <s v="Navarrete"/>
    <s v="Painevilo"/>
    <s v="20984768-K"/>
    <d v="2002-03-08T00:00:00"/>
    <n v="993893207"/>
    <x v="0"/>
    <s v="Catedral de la Alabanza"/>
    <s v="rodrigon835@gmail.com"/>
    <m/>
    <x v="4"/>
    <m/>
    <m/>
  </r>
  <r>
    <x v="303"/>
    <s v="Sandra"/>
    <s v="Olivos"/>
    <s v="Muñoz"/>
    <n v="134694246"/>
    <d v="1978-10-14T00:00:00"/>
    <s v="+569 72122354"/>
    <x v="0"/>
    <s v="Catedral de la Alabanza"/>
    <s v="solimu1410@gmail.com"/>
    <m/>
    <x v="4"/>
    <m/>
    <m/>
  </r>
  <r>
    <x v="304"/>
    <s v="Esposa "/>
    <s v="Sebastian Fernandez"/>
    <m/>
    <m/>
    <m/>
    <m/>
    <x v="7"/>
    <m/>
    <m/>
    <s v="Genoveva Navales"/>
    <x v="4"/>
    <m/>
    <m/>
  </r>
  <r>
    <x v="304"/>
    <s v="Sebastian"/>
    <s v="Fernandez"/>
    <s v="Gamboa"/>
    <n v="191705920"/>
    <d v="1995-05-28T00:00:00"/>
    <n v="53454934"/>
    <x v="0"/>
    <s v="Catedral de la Alabanza"/>
    <s v="sebastian.f.g85@gmail.com"/>
    <s v="Genoveva Navales"/>
    <x v="4"/>
    <m/>
    <m/>
  </r>
  <r>
    <x v="305"/>
    <s v="Jose "/>
    <s v="Castro "/>
    <s v="Barahona "/>
    <s v="10346988-0"/>
    <d v="1968-04-26T00:00:00"/>
    <n v="994695097"/>
    <x v="0"/>
    <s v="Catedral de la Alabanza"/>
    <s v="josemcastro@hotmail.com"/>
    <m/>
    <x v="4"/>
    <m/>
    <m/>
  </r>
  <r>
    <x v="306"/>
    <s v="Jeannette "/>
    <s v="Lagos"/>
    <s v="Cuevas"/>
    <s v="10307611-0"/>
    <d v="1968-08-19T00:00:00"/>
    <s v="+56995072208"/>
    <x v="0"/>
    <s v="Catedral de la Alabanza"/>
    <s v="Janet.lagos@hotmail.cl"/>
    <s v="Juan Manuel Caro"/>
    <x v="10"/>
    <m/>
    <m/>
  </r>
  <r>
    <x v="307"/>
    <s v="Veronica "/>
    <s v="Gomez "/>
    <s v="Avendaño "/>
    <n v="104361943"/>
    <d v="1962-11-03T00:00:00"/>
    <n v="56930228519"/>
    <x v="0"/>
    <s v="Catedral de la Alabanza"/>
    <s v="stefanianeira@gmail.com"/>
    <s v="NN"/>
    <x v="4"/>
    <m/>
    <m/>
  </r>
  <r>
    <x v="308"/>
    <s v="Mauricio "/>
    <s v="Ravilet"/>
    <s v="Carrera"/>
    <s v="12148330-0"/>
    <d v="1973-01-09T00:00:00"/>
    <s v="+56981588511"/>
    <x v="0"/>
    <s v="Catedral de la Alabanza"/>
    <s v="mauricio.ravilet@hotmail.com"/>
    <s v="Juan Manuel Caro"/>
    <x v="10"/>
    <m/>
    <m/>
  </r>
  <r>
    <x v="309"/>
    <s v="jeremías"/>
    <s v="villaseca"/>
    <s v="riquelme"/>
    <s v="22.109.563-4"/>
    <d v="2006-05-05T00:00:00"/>
    <s v="+56966883711"/>
    <x v="1"/>
    <s v="Catedral de la Alabanza"/>
    <s v="jeremiasvillaseca1@gmail.com"/>
    <s v="Estudiante"/>
    <x v="4"/>
    <m/>
    <m/>
  </r>
  <r>
    <x v="310"/>
    <s v="Iván "/>
    <s v="Troncoso"/>
    <s v="Lara"/>
    <n v="132916063"/>
    <d v="1977-01-11T00:00:00"/>
    <n v="979051587"/>
    <x v="0"/>
    <s v="Catedral de la Alabanza"/>
    <s v="ivan.troncoso@comunidadbaluarte.cl"/>
    <m/>
    <x v="4"/>
    <m/>
    <m/>
  </r>
  <r>
    <x v="311"/>
    <s v="Salvador "/>
    <s v="Moya "/>
    <s v="Gonzalez "/>
    <s v="11565374-1"/>
    <d v="1970-10-24T00:00:00"/>
    <n v="56993722041"/>
    <x v="0"/>
    <s v="Catedral de la Alabanza"/>
    <s v="Salvadormoya@gmail.com "/>
    <s v="NN"/>
    <x v="4"/>
    <m/>
    <m/>
  </r>
  <r>
    <x v="312"/>
    <s v="Edgardo"/>
    <s v="Pincheira"/>
    <s v="Gonzalez"/>
    <n v="100941120"/>
    <d v="1968-04-16T00:00:00"/>
    <s v="+569 66452773"/>
    <x v="3"/>
    <s v="Iglesia invitada"/>
    <s v="edgardopincheira40@gmail.com"/>
    <s v="Visita"/>
    <x v="4"/>
    <m/>
    <m/>
  </r>
  <r>
    <x v="313"/>
    <s v="Gipsy "/>
    <s v="Vergara "/>
    <s v="Araya "/>
    <n v="109761923"/>
    <d v="1971-03-14T00:00:00"/>
    <n v="569976000477"/>
    <x v="0"/>
    <s v="Catedral de la Alabanza"/>
    <s v="Gipvergara@gmail.com"/>
    <s v="NN"/>
    <x v="4"/>
    <m/>
    <m/>
  </r>
  <r>
    <x v="314"/>
    <s v="Joaquin"/>
    <s v="Torres"/>
    <s v="Arias"/>
    <n v="232086386"/>
    <d v="2009-11-28T00:00:00"/>
    <n v="937576627"/>
    <x v="1"/>
    <s v="Catedral de la Alabanza"/>
    <s v="joaco10.kurzweil@gmail.com"/>
    <m/>
    <x v="4"/>
    <m/>
    <m/>
  </r>
  <r>
    <x v="315"/>
    <s v="Catalina Ana "/>
    <s v="Mihelic "/>
    <s v="Rosas "/>
    <s v="17004718-4"/>
    <d v="1988-10-06T00:00:00"/>
    <n v="942712549"/>
    <x v="2"/>
    <s v="Catedral de la Alabanza"/>
    <s v="catalinamihelic@gmail.com"/>
    <m/>
    <x v="4"/>
    <m/>
    <m/>
  </r>
  <r>
    <x v="316"/>
    <s v="Amanda"/>
    <s v="Salazar"/>
    <s v="Negrete"/>
    <n v="231140182"/>
    <d v="2009-09-05T00:00:00"/>
    <s v="+569 44589317"/>
    <x v="5"/>
    <s v="Catedral de la Alabanza"/>
    <s v="Salazarnegreteamandavictoria@gmail.com"/>
    <m/>
    <x v="14"/>
    <m/>
    <m/>
  </r>
  <r>
    <x v="317"/>
    <s v="Luisa"/>
    <s v="Gonzalez"/>
    <s v="Carrasco"/>
    <n v="114918245"/>
    <d v="1969-07-06T00:00:00"/>
    <s v="+569 72369679"/>
    <x v="0"/>
    <s v="Catedral de la Alabanza"/>
    <s v="luisagonzalezcarrasco123@gmail.com"/>
    <m/>
    <x v="4"/>
    <m/>
    <m/>
  </r>
  <r>
    <x v="318"/>
    <s v="Catalina "/>
    <s v="Mariangel"/>
    <s v="Martinez"/>
    <n v="192364485"/>
    <d v="1996-07-10T00:00:00"/>
    <s v="+56949144049"/>
    <x v="0"/>
    <s v="Catedral de la Alabanza"/>
    <s v="Catalina.209437@gmail.com"/>
    <s v="NN"/>
    <x v="10"/>
    <m/>
    <m/>
  </r>
  <r>
    <x v="319"/>
    <s v="Isabel "/>
    <s v="Hinojosa"/>
    <s v="Montenegro "/>
    <s v="8134886-3"/>
    <d v="1966-01-07T00:00:00"/>
    <s v="569 30271611"/>
    <x v="2"/>
    <s v="Catedral de la Alabanza"/>
    <s v="Chary1102sh@gmail.com"/>
    <m/>
    <x v="4"/>
    <m/>
    <m/>
  </r>
  <r>
    <x v="320"/>
    <s v="Pedro"/>
    <s v="Salinas"/>
    <s v="Quiroz"/>
    <s v="8577483-2"/>
    <d v="1960-07-17T00:00:00"/>
    <n v="5695212225"/>
    <x v="2"/>
    <s v="Catedral de la Alabanza"/>
    <s v="Psalinas@gmail.com"/>
    <s v="NN"/>
    <x v="4"/>
    <m/>
    <m/>
  </r>
  <r>
    <x v="321"/>
    <s v="Orietta"/>
    <s v="Rubio"/>
    <s v="San Martin"/>
    <n v="90019538"/>
    <d v="1961-06-27T00:00:00"/>
    <s v="+569 85443422"/>
    <x v="2"/>
    <s v="Catedral de la Alabanza"/>
    <s v="oroerubio@gmail.com"/>
    <s v="NN"/>
    <x v="4"/>
    <m/>
    <m/>
  </r>
  <r>
    <x v="322"/>
    <s v="Sebastian"/>
    <s v="Cordova"/>
    <s v="Oliva"/>
    <n v="165196171"/>
    <d v="1987-03-14T00:00:00"/>
    <n v="56988549862"/>
    <x v="2"/>
    <s v="Catedral de la Alabanza"/>
    <s v="sebastiancordova.o@gmail.com"/>
    <m/>
    <x v="4"/>
    <m/>
    <m/>
  </r>
  <r>
    <x v="323"/>
    <s v="Mauricio "/>
    <s v="Gutiérrez "/>
    <s v="Garay "/>
    <n v="137079194"/>
    <d v="2025-05-24T00:00:00"/>
    <n v="989566354"/>
    <x v="0"/>
    <s v="Catedral de la Alabanza"/>
    <s v="maury10vm@gmail.com"/>
    <m/>
    <x v="4"/>
    <m/>
    <m/>
  </r>
  <r>
    <x v="324"/>
    <s v="Isabel"/>
    <s v="Barros"/>
    <s v="Acosta"/>
    <n v="123456789"/>
    <d v="1958-04-01T00:00:00"/>
    <s v="+569 90626933"/>
    <x v="2"/>
    <s v="Catedral de la Alabanza"/>
    <s v="isabel31ba@gmail.com"/>
    <s v="NN"/>
    <x v="4"/>
    <m/>
    <m/>
  </r>
  <r>
    <x v="325"/>
    <s v="Mical"/>
    <s v="Vasquez"/>
    <s v="Gonzalez"/>
    <n v="172418287"/>
    <d v="1989-02-25T00:00:00"/>
    <n v="981471349"/>
    <x v="6"/>
    <s v="Iglesia invitada"/>
    <s v="mikalsita@gmail.com"/>
    <m/>
    <x v="4"/>
    <m/>
    <n v="3000"/>
  </r>
  <r>
    <x v="325"/>
    <s v="Gerardo"/>
    <s v="Villarroel"/>
    <s v="Duerto"/>
    <m/>
    <m/>
    <m/>
    <x v="0"/>
    <m/>
    <m/>
    <m/>
    <x v="4"/>
    <m/>
    <m/>
  </r>
  <r>
    <x v="326"/>
    <s v="Lidia"/>
    <s v="Vargas"/>
    <s v="Ramirez"/>
    <s v="9.856.993-6"/>
    <d v="1965-02-16T00:00:00"/>
    <s v="+56979286034"/>
    <x v="2"/>
    <s v="Catedral de la Alabanza"/>
    <s v="lidiadenissv@gmail.com"/>
    <m/>
    <x v="4"/>
    <m/>
    <n v="7000"/>
  </r>
  <r>
    <x v="327"/>
    <s v="Guillermo"/>
    <s v="Aviles "/>
    <s v="Briones"/>
    <s v="21.313.496-5"/>
    <m/>
    <n v="953608217"/>
    <x v="3"/>
    <s v="Visita"/>
    <s v="gavilesbriones@gmail.com"/>
    <m/>
    <x v="1"/>
    <m/>
    <m/>
  </r>
  <r>
    <x v="327"/>
    <s v="Paz"/>
    <s v="Vallejos"/>
    <s v="Nuñez"/>
    <s v="22.002.327-3"/>
    <m/>
    <n v="935860668"/>
    <x v="3"/>
    <s v="Catedral Copiapo"/>
    <s v="Paz.vallejos05@gmail.com"/>
    <m/>
    <x v="15"/>
    <m/>
    <m/>
  </r>
  <r>
    <x v="327"/>
    <s v="Melanie "/>
    <s v="Gomez "/>
    <s v="Berrios"/>
    <s v="18074570k"/>
    <m/>
    <n v="963723462"/>
    <x v="0"/>
    <s v="José Ferrada"/>
    <s v="m.gomezbe24@gmail.com"/>
    <m/>
    <x v="16"/>
    <m/>
    <m/>
  </r>
  <r>
    <x v="327"/>
    <s v="Jose luis"/>
    <s v="Gonzalez"/>
    <s v="Serrano"/>
    <s v="10758581-8"/>
    <m/>
    <n v="56950507836"/>
    <x v="0"/>
    <s v="Juan Manuel"/>
    <s v="Jl7gonzalez@hotmail.com"/>
    <m/>
    <x v="5"/>
    <m/>
    <m/>
  </r>
  <r>
    <x v="327"/>
    <s v="Wilson"/>
    <s v="Montanares"/>
    <s v="Meza"/>
    <n v="109882623"/>
    <m/>
    <n v="56991606982"/>
    <x v="0"/>
    <s v="Christian Jara"/>
    <s v="wilson.montanares@gmail.com"/>
    <m/>
    <x v="5"/>
    <m/>
    <m/>
  </r>
  <r>
    <x v="327"/>
    <s v="Leyda "/>
    <s v="Pinilla"/>
    <m/>
    <n v="193274048"/>
    <m/>
    <n v="98552616"/>
    <x v="3"/>
    <s v="Visita"/>
    <s v="Red1mujeres@gmail.com"/>
    <m/>
    <x v="10"/>
    <m/>
    <m/>
  </r>
  <r>
    <x v="327"/>
    <s v="Katherine"/>
    <s v="Diaz"/>
    <m/>
    <n v="167871208"/>
    <m/>
    <n v="989742097"/>
    <x v="0"/>
    <s v="Christian Jara"/>
    <s v="kathy.2diaz@gmail.com"/>
    <m/>
    <x v="17"/>
    <m/>
    <m/>
  </r>
  <r>
    <x v="327"/>
    <s v="Sofia"/>
    <s v="Vallejos"/>
    <s v="Nuñez"/>
    <s v="22299884-0"/>
    <m/>
    <n v="56974283005"/>
    <x v="3"/>
    <s v="Catedral Copiapo"/>
    <s v="Sofiaestervn1920@gmail.com"/>
    <m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48915-0BD6-4858-B64C-104B6B4E09F1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 rowPageCount="1" colPageCount="1"/>
  <pivotFields count="14">
    <pivotField dataField="1" numFmtId="14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4"/>
        <item x="1"/>
        <item x="0"/>
        <item x="2"/>
        <item x="6"/>
        <item x="3"/>
        <item x="7"/>
        <item t="default"/>
      </items>
    </pivotField>
    <pivotField showAll="0"/>
    <pivotField showAll="0"/>
    <pivotField showAll="0"/>
    <pivotField axis="axisPage" multipleItemSelectionAllowed="1" showAll="0">
      <items count="19">
        <item x="12"/>
        <item x="0"/>
        <item x="13"/>
        <item x="16"/>
        <item x="15"/>
        <item x="1"/>
        <item x="11"/>
        <item x="17"/>
        <item x="7"/>
        <item x="5"/>
        <item x="2"/>
        <item x="6"/>
        <item x="8"/>
        <item x="9"/>
        <item x="10"/>
        <item x="4"/>
        <item x="14"/>
        <item h="1" x="3"/>
        <item t="default"/>
      </items>
    </pivotField>
    <pivotField showAll="0"/>
    <pivotField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1" hier="-1"/>
  </pageFields>
  <dataFields count="1">
    <dataField name="Cuenta de Marca temporal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N346" headerRowDxfId="1">
  <autoFilter ref="A1:N346" xr:uid="{00000000-000C-0000-FFFF-FFFF00000000}">
    <filterColumn colId="0">
      <filters>
        <dateGroupItem year="2025" month="5" day="18" dateTimeGrouping="day"/>
        <dateGroupItem year="2025" month="5" day="19" dateTimeGrouping="day"/>
        <dateGroupItem year="2025" month="5" day="20" dateTimeGrouping="day"/>
        <dateGroupItem year="2025" month="5" day="21" dateTimeGrouping="day"/>
        <dateGroupItem year="2025" month="5" day="22" dateTimeGrouping="day"/>
        <dateGroupItem year="2025" month="5" day="23" dateTimeGrouping="day"/>
        <dateGroupItem year="2025" month="5" day="24" dateTimeGrouping="day"/>
      </filters>
    </filterColumn>
  </autoFilter>
  <sortState xmlns:xlrd2="http://schemas.microsoft.com/office/spreadsheetml/2017/richdata2" ref="A2:N346">
    <sortCondition ref="A2:A346"/>
  </sortState>
  <tableColumns count="14">
    <tableColumn id="1" xr3:uid="{00000000-0010-0000-0000-000001000000}" name="Marca temporal" dataDxfId="0"/>
    <tableColumn id="2" xr3:uid="{00000000-0010-0000-0000-000002000000}" name="NOMBRE"/>
    <tableColumn id="3" xr3:uid="{00000000-0010-0000-0000-000003000000}" name="APELLIDO 1"/>
    <tableColumn id="4" xr3:uid="{00000000-0010-0000-0000-000004000000}" name="APELLIDO 2"/>
    <tableColumn id="5" xr3:uid="{00000000-0010-0000-0000-000005000000}" name="RUT"/>
    <tableColumn id="6" xr3:uid="{00000000-0010-0000-0000-000006000000}" name="FECHA DE NACIMIENTO"/>
    <tableColumn id="7" xr3:uid="{00000000-0010-0000-0000-000007000000}" name="TELEFONO (+569 XXXXXXXX)"/>
    <tableColumn id="8" xr3:uid="{00000000-0010-0000-0000-000008000000}" name="TIPO DE ASISTENTE"/>
    <tableColumn id="9" xr3:uid="{00000000-0010-0000-0000-000009000000}" name="ORGANIZACION"/>
    <tableColumn id="10" xr3:uid="{00000000-0010-0000-0000-00000A000000}" name="EMAIL"/>
    <tableColumn id="11" xr3:uid="{00000000-0010-0000-0000-00000B000000}" name="Pastor de Red"/>
    <tableColumn id="12" xr3:uid="{00000000-0010-0000-0000-00000C000000}" name="Pago"/>
    <tableColumn id="13" xr3:uid="{00000000-0010-0000-0000-00000D000000}" name="Plataforma"/>
    <tableColumn id="14" xr3:uid="{00000000-0010-0000-0000-00000E000000}" name="Columna 1"/>
  </tableColumns>
  <tableStyleInfo name="Respuestas de formulario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1" displayName="Tabla_1" ref="A1:S13">
  <tableColumns count="19">
    <tableColumn id="1" xr3:uid="{00000000-0010-0000-0100-000001000000}" name="delegateID"/>
    <tableColumn id="2" xr3:uid="{00000000-0010-0000-0100-000002000000}" name="DNI"/>
    <tableColumn id="3" xr3:uid="{00000000-0010-0000-0100-000003000000}" name="fullname"/>
    <tableColumn id="4" xr3:uid="{00000000-0010-0000-0100-000004000000}" name="gender"/>
    <tableColumn id="5" xr3:uid="{00000000-0010-0000-0100-000005000000}" name="mobile"/>
    <tableColumn id="6" xr3:uid="{00000000-0010-0000-0100-000006000000}" name="email"/>
    <tableColumn id="7" xr3:uid="{00000000-0010-0000-0100-000007000000}" name="industry"/>
    <tableColumn id="8" xr3:uid="{00000000-0010-0000-0100-000008000000}" name="organization"/>
    <tableColumn id="9" xr3:uid="{00000000-0010-0000-0100-000009000000}" name="paymentrefnum"/>
    <tableColumn id="10" xr3:uid="{00000000-0010-0000-0100-00000A000000}" name="ticketNo"/>
    <tableColumn id="11" xr3:uid="{00000000-0010-0000-0100-00000B000000}" name="datereg"/>
    <tableColumn id="12" xr3:uid="{00000000-0010-0000-0100-00000C000000}" name="amount"/>
    <tableColumn id="13" xr3:uid="{00000000-0010-0000-0100-00000D000000}" name="package"/>
    <tableColumn id="14" xr3:uid="{00000000-0010-0000-0100-00000E000000}" name="checkedin"/>
    <tableColumn id="15" xr3:uid="{00000000-0010-0000-0100-00000F000000}" name="glsyear"/>
    <tableColumn id="16" xr3:uid="{00000000-0010-0000-0100-000010000000}" name="ticket_paid"/>
    <tableColumn id="17" xr3:uid="{00000000-0010-0000-0100-000011000000}" name="payment_mode"/>
    <tableColumn id="18" xr3:uid="{00000000-0010-0000-0100-000012000000}" name="Pastor de Red"/>
    <tableColumn id="19" xr3:uid="{00000000-0010-0000-0100-000013000000}" name="payment_date"/>
  </tableColumns>
  <tableStyleInfo name="Plataform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wilson.montanares@gmail.com" TargetMode="External"/><Relationship Id="rId13" Type="http://schemas.openxmlformats.org/officeDocument/2006/relationships/table" Target="../tables/table2.xml"/><Relationship Id="rId3" Type="http://schemas.openxmlformats.org/officeDocument/2006/relationships/hyperlink" Target="mailto:Sofiaestervn1920@gmail.com" TargetMode="External"/><Relationship Id="rId7" Type="http://schemas.openxmlformats.org/officeDocument/2006/relationships/hyperlink" Target="mailto:merchangelvesanyurisdelcarmen@gmail.com" TargetMode="External"/><Relationship Id="rId12" Type="http://schemas.openxmlformats.org/officeDocument/2006/relationships/hyperlink" Target="mailto:kathy.2diaz@gmail.com" TargetMode="External"/><Relationship Id="rId2" Type="http://schemas.openxmlformats.org/officeDocument/2006/relationships/hyperlink" Target="mailto:Paz.vallejos05@gmail.com" TargetMode="External"/><Relationship Id="rId1" Type="http://schemas.openxmlformats.org/officeDocument/2006/relationships/hyperlink" Target="mailto:gavilesbriones@gmail.com" TargetMode="External"/><Relationship Id="rId6" Type="http://schemas.openxmlformats.org/officeDocument/2006/relationships/hyperlink" Target="mailto:Pabloyberni2026@gmail.com" TargetMode="External"/><Relationship Id="rId11" Type="http://schemas.openxmlformats.org/officeDocument/2006/relationships/hyperlink" Target="mailto:Rubensr7@gmail.com" TargetMode="External"/><Relationship Id="rId5" Type="http://schemas.openxmlformats.org/officeDocument/2006/relationships/hyperlink" Target="mailto:Jl7gonzalez@hotmail.com" TargetMode="External"/><Relationship Id="rId10" Type="http://schemas.openxmlformats.org/officeDocument/2006/relationships/hyperlink" Target="mailto:Cinthiabq1976@gmail.com" TargetMode="External"/><Relationship Id="rId4" Type="http://schemas.openxmlformats.org/officeDocument/2006/relationships/hyperlink" Target="mailto:m.gomezbe24@gmail.com" TargetMode="External"/><Relationship Id="rId9" Type="http://schemas.openxmlformats.org/officeDocument/2006/relationships/hyperlink" Target="mailto:Red1mujer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F331-944A-4FDD-9DCE-B6A73B179F0D}">
  <dimension ref="A1:C20"/>
  <sheetViews>
    <sheetView workbookViewId="0">
      <selection activeCell="B20" sqref="B20"/>
    </sheetView>
  </sheetViews>
  <sheetFormatPr baseColWidth="10" defaultRowHeight="12.5" x14ac:dyDescent="0.25"/>
  <cols>
    <col min="1" max="1" width="23.6328125" bestFit="1" customWidth="1"/>
    <col min="2" max="2" width="22.36328125" bestFit="1" customWidth="1"/>
    <col min="3" max="3" width="13.54296875" bestFit="1" customWidth="1"/>
  </cols>
  <sheetData>
    <row r="1" spans="1:3" x14ac:dyDescent="0.25">
      <c r="A1" s="121" t="s">
        <v>11</v>
      </c>
      <c r="B1" s="115" t="s">
        <v>1865</v>
      </c>
    </row>
    <row r="3" spans="1:3" x14ac:dyDescent="0.25">
      <c r="A3" s="116" t="s">
        <v>1862</v>
      </c>
      <c r="B3" s="114" t="s">
        <v>1861</v>
      </c>
    </row>
    <row r="4" spans="1:3" x14ac:dyDescent="0.25">
      <c r="A4" s="117" t="s">
        <v>1828</v>
      </c>
      <c r="B4" s="114">
        <v>6</v>
      </c>
      <c r="C4" s="122">
        <f>GETPIVOTDATA("Marca temporal",$A$3,"TIPO DE ASISTENTE","Estudiante ($3.000)")*3000</f>
        <v>18000</v>
      </c>
    </row>
    <row r="5" spans="1:3" x14ac:dyDescent="0.25">
      <c r="A5" s="118" t="s">
        <v>1829</v>
      </c>
      <c r="B5" s="119">
        <v>2</v>
      </c>
      <c r="C5" s="122">
        <f>GETPIVOTDATA("Marca temporal",$A$3,"TIPO DE ASISTENTE","Estudiante ($3.500)")*3500</f>
        <v>7000</v>
      </c>
    </row>
    <row r="6" spans="1:3" x14ac:dyDescent="0.25">
      <c r="A6" s="118" t="s">
        <v>19</v>
      </c>
      <c r="B6" s="119">
        <v>64</v>
      </c>
      <c r="C6" s="122">
        <f>GETPIVOTDATA("Marca temporal",$A$3,"TIPO DE ASISTENTE","Estudiante ($5.000)")*5000</f>
        <v>320000</v>
      </c>
    </row>
    <row r="7" spans="1:3" x14ac:dyDescent="0.25">
      <c r="A7" s="118" t="s">
        <v>28</v>
      </c>
      <c r="B7" s="119">
        <v>191</v>
      </c>
      <c r="C7" s="122">
        <f>GETPIVOTDATA("Marca temporal",$A$3,"TIPO DE ASISTENTE","Liderazgo general ($10.000)")*10000</f>
        <v>1910000</v>
      </c>
    </row>
    <row r="8" spans="1:3" x14ac:dyDescent="0.25">
      <c r="A8" s="118" t="s">
        <v>1827</v>
      </c>
      <c r="B8" s="119">
        <v>16</v>
      </c>
      <c r="C8" s="122">
        <f>GETPIVOTDATA("Marca temporal",$A$3,"TIPO DE ASISTENTE","Liderazgo general ($7.000)")*7000</f>
        <v>112000</v>
      </c>
    </row>
    <row r="9" spans="1:3" x14ac:dyDescent="0.25">
      <c r="A9" s="118" t="s">
        <v>1830</v>
      </c>
      <c r="B9" s="119">
        <v>3</v>
      </c>
      <c r="C9" s="122">
        <f>GETPIVOTDATA("Marca temporal",$A$3,"TIPO DE ASISTENTE","Visita ($3.000)")*3000</f>
        <v>9000</v>
      </c>
    </row>
    <row r="10" spans="1:3" x14ac:dyDescent="0.25">
      <c r="A10" s="118" t="s">
        <v>78</v>
      </c>
      <c r="B10" s="119">
        <v>39</v>
      </c>
      <c r="C10" s="122">
        <f>GETPIVOTDATA("Marca temporal",$A$3,"TIPO DE ASISTENTE","Visita ($5.000)")*5000</f>
        <v>195000</v>
      </c>
    </row>
    <row r="11" spans="1:3" x14ac:dyDescent="0.25">
      <c r="A11" s="118" t="s">
        <v>1863</v>
      </c>
      <c r="B11" s="119">
        <v>1</v>
      </c>
      <c r="C11" s="122">
        <v>10000</v>
      </c>
    </row>
    <row r="12" spans="1:3" x14ac:dyDescent="0.25">
      <c r="A12" s="120" t="s">
        <v>1864</v>
      </c>
      <c r="B12" s="115">
        <v>322</v>
      </c>
      <c r="C12" s="122">
        <f>SUM(C4:C11)</f>
        <v>2581000</v>
      </c>
    </row>
    <row r="13" spans="1:3" x14ac:dyDescent="0.25">
      <c r="A13" s="124"/>
      <c r="B13" s="102" t="s">
        <v>1860</v>
      </c>
      <c r="C13" s="122">
        <v>215000</v>
      </c>
    </row>
    <row r="14" spans="1:3" x14ac:dyDescent="0.25">
      <c r="A14" s="124"/>
      <c r="B14" s="102" t="s">
        <v>1869</v>
      </c>
      <c r="C14" s="122">
        <f>SUM(C12:C13)</f>
        <v>2796000</v>
      </c>
    </row>
    <row r="16" spans="1:3" x14ac:dyDescent="0.25">
      <c r="A16" s="126" t="s">
        <v>1868</v>
      </c>
      <c r="B16" s="122">
        <v>2230000</v>
      </c>
      <c r="C16" s="122"/>
    </row>
    <row r="17" spans="1:3" x14ac:dyDescent="0.25">
      <c r="A17" s="124" t="s">
        <v>1866</v>
      </c>
      <c r="B17" s="122">
        <f>180000+50000+40000+2000</f>
        <v>272000</v>
      </c>
      <c r="C17" s="125"/>
    </row>
    <row r="18" spans="1:3" ht="13" x14ac:dyDescent="0.3">
      <c r="A18" s="124" t="s">
        <v>1867</v>
      </c>
      <c r="B18" s="127">
        <v>300000</v>
      </c>
      <c r="C18" s="125"/>
    </row>
    <row r="19" spans="1:3" x14ac:dyDescent="0.25">
      <c r="A19" s="126" t="s">
        <v>1870</v>
      </c>
      <c r="B19" s="128">
        <f>SUM(B16:B18)</f>
        <v>2802000</v>
      </c>
      <c r="C19" s="125"/>
    </row>
    <row r="20" spans="1:3" x14ac:dyDescent="0.25">
      <c r="A20" s="126" t="s">
        <v>1871</v>
      </c>
      <c r="B20" s="128">
        <f>B19-C14</f>
        <v>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46"/>
  <sheetViews>
    <sheetView tabSelected="1" workbookViewId="0">
      <pane ySplit="1" topLeftCell="A14" activePane="bottomLeft" state="frozen"/>
      <selection pane="bottomLeft" activeCell="B117" sqref="B117"/>
    </sheetView>
  </sheetViews>
  <sheetFormatPr baseColWidth="10" defaultColWidth="12.6328125" defaultRowHeight="15.75" customHeight="1" x14ac:dyDescent="0.25"/>
  <cols>
    <col min="1" max="5" width="18.90625" customWidth="1"/>
    <col min="6" max="6" width="23" customWidth="1"/>
    <col min="7" max="7" width="26.453125" customWidth="1"/>
    <col min="8" max="8" width="29.26953125" customWidth="1"/>
    <col min="9" max="9" width="18.90625" customWidth="1"/>
    <col min="10" max="10" width="28.7265625" customWidth="1"/>
    <col min="11" max="17" width="18.90625" customWidth="1"/>
  </cols>
  <sheetData>
    <row r="1" spans="1:17" s="58" customFormat="1" ht="15.75" customHeight="1" x14ac:dyDescent="0.3">
      <c r="A1" s="54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6" t="s">
        <v>10</v>
      </c>
      <c r="L1" s="55" t="s">
        <v>11</v>
      </c>
      <c r="M1" s="55" t="s">
        <v>12</v>
      </c>
      <c r="N1" s="57" t="s">
        <v>13</v>
      </c>
    </row>
    <row r="2" spans="1:17" ht="15.75" hidden="1" customHeight="1" x14ac:dyDescent="0.25">
      <c r="A2" s="67">
        <v>45788.512617141205</v>
      </c>
      <c r="B2" s="1" t="s">
        <v>41</v>
      </c>
      <c r="C2" s="1" t="s">
        <v>34</v>
      </c>
      <c r="D2" s="1" t="s">
        <v>42</v>
      </c>
      <c r="E2" s="1" t="s">
        <v>43</v>
      </c>
      <c r="F2" s="2">
        <v>34386</v>
      </c>
      <c r="G2" s="1" t="s">
        <v>44</v>
      </c>
      <c r="H2" s="1" t="s">
        <v>28</v>
      </c>
      <c r="I2" s="1" t="s">
        <v>29</v>
      </c>
      <c r="J2" s="1" t="s">
        <v>45</v>
      </c>
      <c r="K2" s="1" t="s">
        <v>31</v>
      </c>
      <c r="L2" s="1" t="s">
        <v>46</v>
      </c>
      <c r="M2" s="1" t="s">
        <v>47</v>
      </c>
      <c r="N2" s="3"/>
    </row>
    <row r="3" spans="1:17" ht="15.75" hidden="1" customHeight="1" x14ac:dyDescent="0.25">
      <c r="A3" s="68">
        <v>45788.523123043982</v>
      </c>
      <c r="B3" s="4" t="s">
        <v>891</v>
      </c>
      <c r="C3" s="4" t="s">
        <v>892</v>
      </c>
      <c r="D3" s="4" t="s">
        <v>521</v>
      </c>
      <c r="E3" s="4" t="s">
        <v>893</v>
      </c>
      <c r="F3" s="5">
        <v>32134</v>
      </c>
      <c r="G3" s="4" t="s">
        <v>894</v>
      </c>
      <c r="H3" s="4" t="s">
        <v>28</v>
      </c>
      <c r="I3" s="4" t="s">
        <v>29</v>
      </c>
      <c r="J3" s="4" t="s">
        <v>895</v>
      </c>
      <c r="K3" s="4" t="s">
        <v>58</v>
      </c>
      <c r="L3" s="5">
        <v>45788</v>
      </c>
      <c r="M3" s="4" t="s">
        <v>23</v>
      </c>
      <c r="N3" s="6"/>
    </row>
    <row r="4" spans="1:17" ht="15.75" hidden="1" customHeight="1" x14ac:dyDescent="0.25">
      <c r="A4" s="67">
        <v>45788.528199293985</v>
      </c>
      <c r="B4" s="1" t="s">
        <v>977</v>
      </c>
      <c r="C4" s="1" t="s">
        <v>978</v>
      </c>
      <c r="D4" s="1" t="s">
        <v>978</v>
      </c>
      <c r="E4" s="1" t="s">
        <v>979</v>
      </c>
      <c r="F4" s="2">
        <v>20494</v>
      </c>
      <c r="G4" s="1" t="s">
        <v>980</v>
      </c>
      <c r="H4" s="1" t="s">
        <v>28</v>
      </c>
      <c r="I4" s="1" t="s">
        <v>29</v>
      </c>
      <c r="J4" s="1" t="s">
        <v>981</v>
      </c>
      <c r="K4" s="1" t="s">
        <v>58</v>
      </c>
      <c r="L4" s="1" t="s">
        <v>46</v>
      </c>
      <c r="M4" s="1" t="s">
        <v>23</v>
      </c>
      <c r="N4" s="3"/>
    </row>
    <row r="5" spans="1:17" ht="15.75" hidden="1" customHeight="1" x14ac:dyDescent="0.25">
      <c r="A5" s="68">
        <v>45788.536238807872</v>
      </c>
      <c r="B5" s="4" t="s">
        <v>1088</v>
      </c>
      <c r="C5" s="4" t="s">
        <v>1089</v>
      </c>
      <c r="D5" s="4" t="s">
        <v>1090</v>
      </c>
      <c r="E5" s="4" t="s">
        <v>1091</v>
      </c>
      <c r="F5" s="5">
        <v>32171</v>
      </c>
      <c r="G5" s="4" t="s">
        <v>1092</v>
      </c>
      <c r="H5" s="4" t="s">
        <v>28</v>
      </c>
      <c r="I5" s="4" t="s">
        <v>29</v>
      </c>
      <c r="J5" s="4" t="s">
        <v>1093</v>
      </c>
      <c r="K5" s="4" t="s">
        <v>31</v>
      </c>
      <c r="L5" s="4" t="s">
        <v>46</v>
      </c>
      <c r="M5" s="4" t="s">
        <v>47</v>
      </c>
      <c r="N5" s="6"/>
    </row>
    <row r="6" spans="1:17" ht="15.75" hidden="1" customHeight="1" x14ac:dyDescent="0.25">
      <c r="A6" s="67">
        <v>45788.549373078698</v>
      </c>
      <c r="B6" s="1" t="s">
        <v>471</v>
      </c>
      <c r="C6" s="1" t="s">
        <v>472</v>
      </c>
      <c r="D6" s="1" t="s">
        <v>473</v>
      </c>
      <c r="E6" s="1" t="s">
        <v>474</v>
      </c>
      <c r="F6" s="2">
        <v>23925</v>
      </c>
      <c r="G6" s="1" t="s">
        <v>475</v>
      </c>
      <c r="H6" s="1" t="s">
        <v>28</v>
      </c>
      <c r="I6" s="1" t="s">
        <v>29</v>
      </c>
      <c r="J6" s="1" t="s">
        <v>476</v>
      </c>
      <c r="K6" s="1" t="s">
        <v>91</v>
      </c>
      <c r="L6" s="2">
        <v>45796</v>
      </c>
      <c r="M6" s="1" t="s">
        <v>47</v>
      </c>
      <c r="N6" s="3"/>
    </row>
    <row r="7" spans="1:17" ht="15.75" hidden="1" customHeight="1" x14ac:dyDescent="0.25">
      <c r="A7" s="68">
        <v>45788.549655613431</v>
      </c>
      <c r="B7" s="4" t="s">
        <v>543</v>
      </c>
      <c r="C7" s="4" t="s">
        <v>544</v>
      </c>
      <c r="D7" s="4" t="s">
        <v>545</v>
      </c>
      <c r="E7" s="4" t="s">
        <v>546</v>
      </c>
      <c r="F7" s="5">
        <v>31357</v>
      </c>
      <c r="G7" s="4" t="s">
        <v>547</v>
      </c>
      <c r="H7" s="4" t="s">
        <v>28</v>
      </c>
      <c r="I7" s="4" t="s">
        <v>29</v>
      </c>
      <c r="J7" s="4" t="s">
        <v>548</v>
      </c>
      <c r="K7" s="4" t="s">
        <v>31</v>
      </c>
      <c r="L7" s="4"/>
      <c r="M7" s="4"/>
      <c r="N7" s="6"/>
    </row>
    <row r="8" spans="1:17" ht="15.75" hidden="1" customHeight="1" x14ac:dyDescent="0.25">
      <c r="A8" s="67">
        <v>45788.550817349533</v>
      </c>
      <c r="B8" s="1" t="s">
        <v>1473</v>
      </c>
      <c r="C8" s="1" t="s">
        <v>1474</v>
      </c>
      <c r="D8" s="1" t="s">
        <v>624</v>
      </c>
      <c r="E8" s="1" t="s">
        <v>1475</v>
      </c>
      <c r="F8" s="2">
        <v>14629</v>
      </c>
      <c r="G8" s="1" t="s">
        <v>1476</v>
      </c>
      <c r="H8" s="1" t="s">
        <v>28</v>
      </c>
      <c r="I8" s="1" t="s">
        <v>29</v>
      </c>
      <c r="J8" s="1" t="s">
        <v>1477</v>
      </c>
      <c r="K8" s="1" t="s">
        <v>53</v>
      </c>
      <c r="L8" s="2">
        <v>45801</v>
      </c>
      <c r="M8" s="1"/>
      <c r="N8" s="3"/>
    </row>
    <row r="9" spans="1:17" ht="15.75" hidden="1" customHeight="1" x14ac:dyDescent="0.25">
      <c r="A9" s="68">
        <v>45788.553783564814</v>
      </c>
      <c r="B9" s="4" t="s">
        <v>60</v>
      </c>
      <c r="C9" s="4" t="s">
        <v>61</v>
      </c>
      <c r="D9" s="4" t="s">
        <v>62</v>
      </c>
      <c r="E9" s="4" t="s">
        <v>63</v>
      </c>
      <c r="F9" s="5">
        <v>39090</v>
      </c>
      <c r="G9" s="11" t="s">
        <v>64</v>
      </c>
      <c r="H9" s="4" t="s">
        <v>19</v>
      </c>
      <c r="I9" s="4" t="s">
        <v>29</v>
      </c>
      <c r="J9" s="4" t="s">
        <v>65</v>
      </c>
      <c r="K9" s="4" t="s">
        <v>66</v>
      </c>
      <c r="L9" s="4" t="s">
        <v>46</v>
      </c>
      <c r="M9" s="4" t="s">
        <v>47</v>
      </c>
      <c r="N9" s="6"/>
    </row>
    <row r="10" spans="1:17" ht="15.75" hidden="1" customHeight="1" x14ac:dyDescent="0.25">
      <c r="A10" s="67">
        <v>45788.554003368059</v>
      </c>
      <c r="B10" s="1" t="s">
        <v>704</v>
      </c>
      <c r="C10" s="1" t="s">
        <v>691</v>
      </c>
      <c r="D10" s="1" t="s">
        <v>705</v>
      </c>
      <c r="E10" s="1">
        <v>213043056</v>
      </c>
      <c r="F10" s="2">
        <v>37762</v>
      </c>
      <c r="G10" s="8" t="s">
        <v>706</v>
      </c>
      <c r="H10" s="1" t="s">
        <v>19</v>
      </c>
      <c r="I10" s="1" t="s">
        <v>29</v>
      </c>
      <c r="J10" s="1" t="s">
        <v>707</v>
      </c>
      <c r="K10" s="1" t="s">
        <v>66</v>
      </c>
      <c r="L10" s="1" t="s">
        <v>46</v>
      </c>
      <c r="M10" s="1" t="s">
        <v>47</v>
      </c>
      <c r="N10" s="3"/>
    </row>
    <row r="11" spans="1:17" ht="15.75" hidden="1" customHeight="1" x14ac:dyDescent="0.25">
      <c r="A11" s="70">
        <v>45788.554015682872</v>
      </c>
      <c r="B11" s="72" t="s">
        <v>984</v>
      </c>
      <c r="C11" s="72" t="s">
        <v>801</v>
      </c>
      <c r="D11" s="72" t="s">
        <v>1292</v>
      </c>
      <c r="E11" s="72" t="s">
        <v>1353</v>
      </c>
      <c r="F11" s="74">
        <v>39095</v>
      </c>
      <c r="G11" s="72" t="s">
        <v>1354</v>
      </c>
      <c r="H11" s="72" t="s">
        <v>19</v>
      </c>
      <c r="I11" s="72" t="s">
        <v>29</v>
      </c>
      <c r="J11" s="72" t="s">
        <v>1355</v>
      </c>
      <c r="K11" s="72" t="s">
        <v>66</v>
      </c>
      <c r="L11" s="74">
        <v>45795</v>
      </c>
      <c r="M11" s="72" t="s">
        <v>23</v>
      </c>
      <c r="N11" s="89"/>
      <c r="O11" s="10"/>
      <c r="P11" s="10"/>
      <c r="Q11" s="10"/>
    </row>
    <row r="12" spans="1:17" ht="15.75" hidden="1" customHeight="1" x14ac:dyDescent="0.25">
      <c r="A12" s="67">
        <v>45788.554277800926</v>
      </c>
      <c r="B12" s="1" t="s">
        <v>208</v>
      </c>
      <c r="C12" s="1" t="s">
        <v>209</v>
      </c>
      <c r="D12" s="1" t="s">
        <v>210</v>
      </c>
      <c r="E12" s="1">
        <v>212520799</v>
      </c>
      <c r="F12" s="2">
        <v>37686</v>
      </c>
      <c r="G12" s="8" t="s">
        <v>211</v>
      </c>
      <c r="H12" s="1" t="s">
        <v>19</v>
      </c>
      <c r="I12" s="1" t="s">
        <v>29</v>
      </c>
      <c r="J12" s="1" t="s">
        <v>212</v>
      </c>
      <c r="K12" s="1" t="s">
        <v>66</v>
      </c>
      <c r="L12" s="1" t="s">
        <v>46</v>
      </c>
      <c r="M12" s="1" t="s">
        <v>47</v>
      </c>
      <c r="N12" s="3"/>
    </row>
    <row r="13" spans="1:17" ht="15.75" hidden="1" customHeight="1" x14ac:dyDescent="0.25">
      <c r="A13" s="68">
        <v>45788.556461446758</v>
      </c>
      <c r="B13" s="4" t="s">
        <v>270</v>
      </c>
      <c r="C13" s="4" t="s">
        <v>271</v>
      </c>
      <c r="D13" s="4" t="s">
        <v>271</v>
      </c>
      <c r="E13" s="4" t="s">
        <v>272</v>
      </c>
      <c r="F13" s="5">
        <v>24595</v>
      </c>
      <c r="G13" s="4" t="s">
        <v>273</v>
      </c>
      <c r="H13" s="75" t="s">
        <v>1827</v>
      </c>
      <c r="I13" s="4" t="s">
        <v>29</v>
      </c>
      <c r="J13" s="4" t="s">
        <v>274</v>
      </c>
      <c r="K13" s="4" t="s">
        <v>53</v>
      </c>
      <c r="L13" s="5">
        <v>45801</v>
      </c>
      <c r="M13" s="4"/>
      <c r="N13" s="6"/>
    </row>
    <row r="14" spans="1:17" ht="15.75" hidden="1" customHeight="1" x14ac:dyDescent="0.25">
      <c r="A14" s="67">
        <v>45788.559342615743</v>
      </c>
      <c r="B14" s="1" t="s">
        <v>1382</v>
      </c>
      <c r="C14" s="1" t="s">
        <v>737</v>
      </c>
      <c r="D14" s="1" t="s">
        <v>1383</v>
      </c>
      <c r="E14" s="1" t="s">
        <v>1384</v>
      </c>
      <c r="F14" s="2">
        <v>24539</v>
      </c>
      <c r="G14" s="1" t="s">
        <v>1385</v>
      </c>
      <c r="H14" s="64" t="s">
        <v>1827</v>
      </c>
      <c r="I14" s="1" t="s">
        <v>29</v>
      </c>
      <c r="J14" s="1" t="s">
        <v>1386</v>
      </c>
      <c r="K14" s="1" t="s">
        <v>53</v>
      </c>
      <c r="L14" s="2">
        <v>45801</v>
      </c>
      <c r="M14" s="1"/>
      <c r="N14" s="3"/>
    </row>
    <row r="15" spans="1:17" ht="15.75" hidden="1" customHeight="1" x14ac:dyDescent="0.25">
      <c r="A15" s="68">
        <v>45788.562128958336</v>
      </c>
      <c r="B15" s="4" t="s">
        <v>1227</v>
      </c>
      <c r="C15" s="4" t="s">
        <v>1228</v>
      </c>
      <c r="D15" s="4" t="s">
        <v>904</v>
      </c>
      <c r="E15" s="4" t="s">
        <v>1229</v>
      </c>
      <c r="F15" s="5">
        <v>38394</v>
      </c>
      <c r="G15" s="11" t="s">
        <v>1230</v>
      </c>
      <c r="H15" s="4" t="s">
        <v>19</v>
      </c>
      <c r="I15" s="4" t="s">
        <v>29</v>
      </c>
      <c r="J15" s="4" t="s">
        <v>1231</v>
      </c>
      <c r="K15" s="77" t="s">
        <v>66</v>
      </c>
      <c r="L15" s="83">
        <v>45795</v>
      </c>
      <c r="M15" s="77" t="s">
        <v>23</v>
      </c>
      <c r="N15" s="6"/>
    </row>
    <row r="16" spans="1:17" ht="15.75" hidden="1" customHeight="1" x14ac:dyDescent="0.25">
      <c r="A16" s="67">
        <v>45788.563097754624</v>
      </c>
      <c r="B16" s="1" t="s">
        <v>685</v>
      </c>
      <c r="C16" s="1" t="s">
        <v>686</v>
      </c>
      <c r="D16" s="1" t="s">
        <v>594</v>
      </c>
      <c r="E16" s="1" t="s">
        <v>687</v>
      </c>
      <c r="F16" s="2">
        <v>37272</v>
      </c>
      <c r="G16" s="1" t="s">
        <v>688</v>
      </c>
      <c r="H16" s="1" t="s">
        <v>28</v>
      </c>
      <c r="I16" s="1" t="s">
        <v>29</v>
      </c>
      <c r="J16" s="1" t="s">
        <v>689</v>
      </c>
      <c r="K16" s="1" t="s">
        <v>31</v>
      </c>
      <c r="L16" s="1" t="s">
        <v>46</v>
      </c>
      <c r="M16" s="1" t="s">
        <v>47</v>
      </c>
      <c r="N16" s="3"/>
    </row>
    <row r="17" spans="1:14" ht="15.75" hidden="1" customHeight="1" x14ac:dyDescent="0.25">
      <c r="A17" s="68">
        <v>45788.64295956018</v>
      </c>
      <c r="B17" s="4" t="s">
        <v>704</v>
      </c>
      <c r="C17" s="4" t="s">
        <v>995</v>
      </c>
      <c r="D17" s="4" t="s">
        <v>1126</v>
      </c>
      <c r="E17" s="4" t="s">
        <v>1127</v>
      </c>
      <c r="F17" s="5">
        <v>36907</v>
      </c>
      <c r="G17" s="4" t="s">
        <v>1128</v>
      </c>
      <c r="H17" s="4" t="s">
        <v>28</v>
      </c>
      <c r="I17" s="4" t="s">
        <v>29</v>
      </c>
      <c r="J17" s="4" t="s">
        <v>1129</v>
      </c>
      <c r="K17" s="4" t="s">
        <v>31</v>
      </c>
      <c r="L17" s="4" t="s">
        <v>46</v>
      </c>
      <c r="M17" s="4" t="s">
        <v>47</v>
      </c>
      <c r="N17" s="6"/>
    </row>
    <row r="18" spans="1:14" ht="15.75" hidden="1" customHeight="1" x14ac:dyDescent="0.25">
      <c r="A18" s="67">
        <v>45788.645425011578</v>
      </c>
      <c r="B18" s="1" t="s">
        <v>520</v>
      </c>
      <c r="C18" s="1" t="s">
        <v>521</v>
      </c>
      <c r="D18" s="1" t="s">
        <v>522</v>
      </c>
      <c r="E18" s="1" t="s">
        <v>523</v>
      </c>
      <c r="F18" s="2">
        <v>24904</v>
      </c>
      <c r="G18" s="1" t="s">
        <v>524</v>
      </c>
      <c r="H18" s="1" t="s">
        <v>28</v>
      </c>
      <c r="I18" s="1" t="s">
        <v>29</v>
      </c>
      <c r="J18" s="1" t="s">
        <v>525</v>
      </c>
      <c r="K18" s="1" t="s">
        <v>58</v>
      </c>
      <c r="L18" s="1" t="s">
        <v>46</v>
      </c>
      <c r="M18" s="1" t="s">
        <v>47</v>
      </c>
      <c r="N18" s="3"/>
    </row>
    <row r="19" spans="1:14" ht="15.75" hidden="1" customHeight="1" x14ac:dyDescent="0.25">
      <c r="A19" s="68">
        <v>45788.764763865736</v>
      </c>
      <c r="B19" s="4" t="s">
        <v>695</v>
      </c>
      <c r="C19" s="4" t="s">
        <v>691</v>
      </c>
      <c r="D19" s="4" t="s">
        <v>696</v>
      </c>
      <c r="E19" s="4" t="s">
        <v>697</v>
      </c>
      <c r="F19" s="5">
        <v>26594</v>
      </c>
      <c r="G19" s="4" t="s">
        <v>698</v>
      </c>
      <c r="H19" s="4" t="s">
        <v>28</v>
      </c>
      <c r="I19" s="4" t="s">
        <v>29</v>
      </c>
      <c r="J19" s="4" t="s">
        <v>699</v>
      </c>
      <c r="K19" s="4" t="s">
        <v>31</v>
      </c>
      <c r="L19" s="4" t="s">
        <v>46</v>
      </c>
      <c r="M19" s="4" t="s">
        <v>23</v>
      </c>
      <c r="N19" s="6"/>
    </row>
    <row r="20" spans="1:14" ht="15.75" hidden="1" customHeight="1" x14ac:dyDescent="0.25">
      <c r="A20" s="67">
        <v>45788.784259675929</v>
      </c>
      <c r="B20" s="1" t="s">
        <v>459</v>
      </c>
      <c r="C20" s="1" t="s">
        <v>1211</v>
      </c>
      <c r="D20" s="1" t="s">
        <v>1212</v>
      </c>
      <c r="E20" s="1" t="s">
        <v>1213</v>
      </c>
      <c r="F20" s="2">
        <v>25861</v>
      </c>
      <c r="G20" s="8" t="s">
        <v>1214</v>
      </c>
      <c r="H20" s="1" t="s">
        <v>28</v>
      </c>
      <c r="I20" s="1" t="s">
        <v>29</v>
      </c>
      <c r="J20" s="1" t="s">
        <v>1215</v>
      </c>
      <c r="K20" s="1" t="s">
        <v>31</v>
      </c>
      <c r="L20" s="2">
        <v>45796</v>
      </c>
      <c r="M20" s="1" t="s">
        <v>23</v>
      </c>
      <c r="N20" s="3"/>
    </row>
    <row r="21" spans="1:14" ht="15.75" hidden="1" customHeight="1" x14ac:dyDescent="0.25">
      <c r="A21" s="68">
        <v>45788.872381099536</v>
      </c>
      <c r="B21" s="4" t="s">
        <v>150</v>
      </c>
      <c r="C21" s="4" t="s">
        <v>151</v>
      </c>
      <c r="D21" s="4" t="s">
        <v>152</v>
      </c>
      <c r="E21" s="4" t="s">
        <v>153</v>
      </c>
      <c r="F21" s="5">
        <v>28251</v>
      </c>
      <c r="G21" s="4" t="s">
        <v>154</v>
      </c>
      <c r="H21" s="4" t="s">
        <v>28</v>
      </c>
      <c r="I21" s="4" t="s">
        <v>29</v>
      </c>
      <c r="J21" s="4" t="s">
        <v>155</v>
      </c>
      <c r="K21" s="4" t="s">
        <v>31</v>
      </c>
      <c r="L21" s="5">
        <v>45797</v>
      </c>
      <c r="M21" s="4" t="s">
        <v>23</v>
      </c>
      <c r="N21" s="6"/>
    </row>
    <row r="22" spans="1:14" ht="15.75" hidden="1" customHeight="1" x14ac:dyDescent="0.25">
      <c r="A22" s="67">
        <v>45788.87517388889</v>
      </c>
      <c r="B22" s="1" t="s">
        <v>117</v>
      </c>
      <c r="C22" s="1" t="s">
        <v>118</v>
      </c>
      <c r="D22" s="1" t="s">
        <v>119</v>
      </c>
      <c r="E22" s="1">
        <v>78557338</v>
      </c>
      <c r="F22" s="2">
        <v>21610</v>
      </c>
      <c r="G22" s="1" t="s">
        <v>120</v>
      </c>
      <c r="H22" s="1" t="s">
        <v>28</v>
      </c>
      <c r="I22" s="1" t="s">
        <v>29</v>
      </c>
      <c r="J22" s="1" t="s">
        <v>121</v>
      </c>
      <c r="K22" s="1" t="s">
        <v>122</v>
      </c>
      <c r="L22" s="1" t="s">
        <v>46</v>
      </c>
      <c r="M22" s="1" t="s">
        <v>23</v>
      </c>
      <c r="N22" s="3"/>
    </row>
    <row r="23" spans="1:14" ht="15.75" hidden="1" customHeight="1" x14ac:dyDescent="0.25">
      <c r="A23" s="68">
        <v>45788.876916805559</v>
      </c>
      <c r="B23" s="4" t="s">
        <v>1321</v>
      </c>
      <c r="C23" s="4" t="s">
        <v>1322</v>
      </c>
      <c r="D23" s="4" t="s">
        <v>1323</v>
      </c>
      <c r="E23" s="11" t="s">
        <v>1324</v>
      </c>
      <c r="F23" s="5">
        <v>25029</v>
      </c>
      <c r="G23" s="11" t="s">
        <v>1325</v>
      </c>
      <c r="H23" s="4" t="s">
        <v>28</v>
      </c>
      <c r="I23" s="4" t="s">
        <v>29</v>
      </c>
      <c r="J23" s="4" t="s">
        <v>1326</v>
      </c>
      <c r="K23" s="4" t="s">
        <v>122</v>
      </c>
      <c r="L23" s="5">
        <v>45794</v>
      </c>
      <c r="M23" s="4" t="s">
        <v>23</v>
      </c>
      <c r="N23" s="6"/>
    </row>
    <row r="24" spans="1:14" ht="15.75" hidden="1" customHeight="1" x14ac:dyDescent="0.25">
      <c r="A24" s="67">
        <v>45788.932802870375</v>
      </c>
      <c r="B24" s="1" t="s">
        <v>932</v>
      </c>
      <c r="C24" s="1" t="s">
        <v>402</v>
      </c>
      <c r="D24" s="1" t="s">
        <v>933</v>
      </c>
      <c r="E24" s="1" t="s">
        <v>934</v>
      </c>
      <c r="F24" s="2">
        <v>35353</v>
      </c>
      <c r="G24" s="1" t="s">
        <v>935</v>
      </c>
      <c r="H24" s="1" t="s">
        <v>28</v>
      </c>
      <c r="I24" s="1" t="s">
        <v>29</v>
      </c>
      <c r="J24" s="1" t="s">
        <v>936</v>
      </c>
      <c r="K24" s="1" t="s">
        <v>31</v>
      </c>
      <c r="L24" s="1" t="s">
        <v>46</v>
      </c>
      <c r="M24" s="1" t="s">
        <v>47</v>
      </c>
      <c r="N24" s="3"/>
    </row>
    <row r="25" spans="1:14" ht="15.75" hidden="1" customHeight="1" x14ac:dyDescent="0.25">
      <c r="A25" s="68">
        <v>45789.898334583333</v>
      </c>
      <c r="B25" s="4" t="s">
        <v>1269</v>
      </c>
      <c r="C25" s="4" t="s">
        <v>1303</v>
      </c>
      <c r="D25" s="4" t="s">
        <v>1304</v>
      </c>
      <c r="E25" s="4">
        <v>211595698</v>
      </c>
      <c r="F25" s="5">
        <v>37566</v>
      </c>
      <c r="G25" s="4" t="s">
        <v>1305</v>
      </c>
      <c r="H25" s="4" t="s">
        <v>19</v>
      </c>
      <c r="I25" s="4" t="s">
        <v>29</v>
      </c>
      <c r="J25" s="4" t="s">
        <v>1306</v>
      </c>
      <c r="K25" s="4" t="s">
        <v>91</v>
      </c>
      <c r="L25" s="4" t="s">
        <v>46</v>
      </c>
      <c r="M25" s="4" t="s">
        <v>47</v>
      </c>
      <c r="N25" s="6"/>
    </row>
    <row r="26" spans="1:14" ht="12.5" hidden="1" x14ac:dyDescent="0.25">
      <c r="A26" s="67">
        <v>45790.005698807872</v>
      </c>
      <c r="B26" s="1" t="s">
        <v>1489</v>
      </c>
      <c r="C26" s="1" t="s">
        <v>1490</v>
      </c>
      <c r="D26" s="1" t="s">
        <v>185</v>
      </c>
      <c r="E26" s="1" t="s">
        <v>1491</v>
      </c>
      <c r="F26" s="2">
        <v>30298</v>
      </c>
      <c r="G26" s="1">
        <v>973879654</v>
      </c>
      <c r="H26" s="1" t="s">
        <v>28</v>
      </c>
      <c r="I26" s="1" t="s">
        <v>38</v>
      </c>
      <c r="J26" s="1" t="s">
        <v>1492</v>
      </c>
      <c r="K26" s="1" t="s">
        <v>1107</v>
      </c>
      <c r="L26" s="1" t="s">
        <v>46</v>
      </c>
      <c r="M26" s="1" t="s">
        <v>23</v>
      </c>
      <c r="N26" s="3"/>
    </row>
    <row r="27" spans="1:14" ht="12.5" hidden="1" x14ac:dyDescent="0.25">
      <c r="A27" s="68">
        <v>45790.426631770832</v>
      </c>
      <c r="B27" s="4" t="s">
        <v>690</v>
      </c>
      <c r="C27" s="4" t="s">
        <v>1256</v>
      </c>
      <c r="D27" s="4" t="s">
        <v>760</v>
      </c>
      <c r="E27" s="4" t="s">
        <v>1257</v>
      </c>
      <c r="F27" s="5">
        <v>36931</v>
      </c>
      <c r="G27" s="4" t="s">
        <v>1258</v>
      </c>
      <c r="H27" s="4" t="s">
        <v>28</v>
      </c>
      <c r="I27" s="4" t="s">
        <v>29</v>
      </c>
      <c r="J27" s="4" t="s">
        <v>1259</v>
      </c>
      <c r="K27" s="4" t="s">
        <v>31</v>
      </c>
      <c r="L27" s="5">
        <v>45798</v>
      </c>
      <c r="M27" s="4" t="s">
        <v>40</v>
      </c>
      <c r="N27" s="6"/>
    </row>
    <row r="28" spans="1:14" ht="12.5" hidden="1" x14ac:dyDescent="0.25">
      <c r="A28" s="67">
        <v>45790.431753854165</v>
      </c>
      <c r="B28" s="1" t="s">
        <v>1100</v>
      </c>
      <c r="C28" s="1" t="s">
        <v>1095</v>
      </c>
      <c r="D28" s="1" t="s">
        <v>1095</v>
      </c>
      <c r="E28" s="1" t="s">
        <v>1101</v>
      </c>
      <c r="F28" s="2">
        <v>38160</v>
      </c>
      <c r="G28" s="1" t="s">
        <v>1102</v>
      </c>
      <c r="H28" s="1" t="s">
        <v>19</v>
      </c>
      <c r="I28" s="1" t="s">
        <v>29</v>
      </c>
      <c r="J28" s="1" t="s">
        <v>1103</v>
      </c>
      <c r="K28" s="1" t="s">
        <v>66</v>
      </c>
      <c r="L28" s="1" t="s">
        <v>46</v>
      </c>
      <c r="M28" s="1" t="s">
        <v>23</v>
      </c>
      <c r="N28" s="3"/>
    </row>
    <row r="29" spans="1:14" ht="12.5" hidden="1" x14ac:dyDescent="0.25">
      <c r="A29" s="68">
        <v>45790.439882395833</v>
      </c>
      <c r="B29" s="4" t="s">
        <v>1399</v>
      </c>
      <c r="C29" s="4" t="s">
        <v>508</v>
      </c>
      <c r="D29" s="4" t="s">
        <v>1400</v>
      </c>
      <c r="E29" s="4" t="s">
        <v>1401</v>
      </c>
      <c r="F29" s="5">
        <v>23895</v>
      </c>
      <c r="G29" s="4">
        <v>993099370</v>
      </c>
      <c r="H29" s="4" t="s">
        <v>28</v>
      </c>
      <c r="I29" s="4" t="s">
        <v>29</v>
      </c>
      <c r="J29" s="4" t="s">
        <v>1402</v>
      </c>
      <c r="K29" s="4" t="s">
        <v>91</v>
      </c>
      <c r="L29" s="4" t="s">
        <v>46</v>
      </c>
      <c r="M29" s="4" t="s">
        <v>47</v>
      </c>
      <c r="N29" s="6"/>
    </row>
    <row r="30" spans="1:14" ht="12.5" hidden="1" x14ac:dyDescent="0.25">
      <c r="A30" s="67">
        <v>45790.44186712963</v>
      </c>
      <c r="B30" s="1" t="s">
        <v>260</v>
      </c>
      <c r="C30" s="1" t="s">
        <v>261</v>
      </c>
      <c r="D30" s="1" t="s">
        <v>262</v>
      </c>
      <c r="E30" s="1" t="s">
        <v>263</v>
      </c>
      <c r="F30" s="2">
        <v>28601</v>
      </c>
      <c r="G30" s="1">
        <v>996306118</v>
      </c>
      <c r="H30" s="1" t="s">
        <v>28</v>
      </c>
      <c r="I30" s="1" t="s">
        <v>29</v>
      </c>
      <c r="J30" s="1" t="s">
        <v>264</v>
      </c>
      <c r="K30" s="1" t="s">
        <v>91</v>
      </c>
      <c r="L30" s="1" t="s">
        <v>46</v>
      </c>
      <c r="M30" s="1" t="s">
        <v>47</v>
      </c>
      <c r="N30" s="3"/>
    </row>
    <row r="31" spans="1:14" ht="12.5" hidden="1" x14ac:dyDescent="0.25">
      <c r="A31" s="68">
        <v>45790.445361273145</v>
      </c>
      <c r="B31" s="4" t="s">
        <v>854</v>
      </c>
      <c r="C31" s="4" t="s">
        <v>855</v>
      </c>
      <c r="D31" s="4" t="s">
        <v>856</v>
      </c>
      <c r="E31" s="4" t="s">
        <v>857</v>
      </c>
      <c r="F31" s="5">
        <v>28563</v>
      </c>
      <c r="G31" s="4">
        <v>9944504623</v>
      </c>
      <c r="H31" s="4" t="s">
        <v>78</v>
      </c>
      <c r="I31" s="4" t="s">
        <v>29</v>
      </c>
      <c r="J31" s="4" t="s">
        <v>264</v>
      </c>
      <c r="K31" s="4" t="s">
        <v>22</v>
      </c>
      <c r="L31" s="4" t="s">
        <v>46</v>
      </c>
      <c r="M31" s="4" t="s">
        <v>47</v>
      </c>
      <c r="N31" s="6"/>
    </row>
    <row r="32" spans="1:14" ht="12.5" hidden="1" x14ac:dyDescent="0.25">
      <c r="A32" s="67">
        <v>45790.505273483795</v>
      </c>
      <c r="B32" s="1" t="s">
        <v>500</v>
      </c>
      <c r="C32" s="1" t="s">
        <v>185</v>
      </c>
      <c r="D32" s="1" t="s">
        <v>574</v>
      </c>
      <c r="E32" s="1" t="s">
        <v>575</v>
      </c>
      <c r="F32" s="2">
        <v>28556</v>
      </c>
      <c r="G32" s="1" t="s">
        <v>576</v>
      </c>
      <c r="H32" s="1" t="s">
        <v>28</v>
      </c>
      <c r="I32" s="1" t="s">
        <v>29</v>
      </c>
      <c r="J32" s="1" t="s">
        <v>577</v>
      </c>
      <c r="K32" s="1" t="s">
        <v>194</v>
      </c>
      <c r="L32" s="2">
        <v>45801</v>
      </c>
      <c r="M32" s="1"/>
      <c r="N32" s="3"/>
    </row>
    <row r="33" spans="1:14" ht="12.5" hidden="1" x14ac:dyDescent="0.25">
      <c r="A33" s="68">
        <v>45790.534253344907</v>
      </c>
      <c r="B33" s="4" t="s">
        <v>611</v>
      </c>
      <c r="C33" s="4" t="s">
        <v>612</v>
      </c>
      <c r="D33" s="4" t="s">
        <v>505</v>
      </c>
      <c r="E33" s="4" t="s">
        <v>613</v>
      </c>
      <c r="F33" s="5">
        <v>34257</v>
      </c>
      <c r="G33" s="4" t="s">
        <v>614</v>
      </c>
      <c r="H33" s="4" t="s">
        <v>28</v>
      </c>
      <c r="I33" s="4" t="s">
        <v>29</v>
      </c>
      <c r="J33" s="4" t="s">
        <v>615</v>
      </c>
      <c r="K33" s="77" t="s">
        <v>194</v>
      </c>
      <c r="L33" s="77" t="s">
        <v>46</v>
      </c>
      <c r="M33" s="77" t="s">
        <v>47</v>
      </c>
      <c r="N33" s="77"/>
    </row>
    <row r="34" spans="1:14" ht="12.5" hidden="1" x14ac:dyDescent="0.25">
      <c r="A34" s="67">
        <v>45790.61252628472</v>
      </c>
      <c r="B34" s="1" t="s">
        <v>162</v>
      </c>
      <c r="C34" s="1" t="s">
        <v>169</v>
      </c>
      <c r="D34" s="1" t="s">
        <v>527</v>
      </c>
      <c r="E34" s="1" t="s">
        <v>530</v>
      </c>
      <c r="F34" s="2">
        <v>29216</v>
      </c>
      <c r="G34" s="1" t="s">
        <v>531</v>
      </c>
      <c r="H34" s="1" t="s">
        <v>78</v>
      </c>
      <c r="I34" s="1" t="s">
        <v>38</v>
      </c>
      <c r="J34" s="1" t="s">
        <v>532</v>
      </c>
      <c r="K34" s="1" t="s">
        <v>458</v>
      </c>
      <c r="L34" s="84">
        <v>45801</v>
      </c>
      <c r="M34" s="1"/>
      <c r="N34" s="3"/>
    </row>
    <row r="35" spans="1:14" ht="12.5" hidden="1" x14ac:dyDescent="0.25">
      <c r="A35" s="68">
        <v>45790.753123946764</v>
      </c>
      <c r="B35" s="4" t="s">
        <v>304</v>
      </c>
      <c r="C35" s="4" t="s">
        <v>305</v>
      </c>
      <c r="D35" s="4" t="s">
        <v>306</v>
      </c>
      <c r="E35" s="4" t="s">
        <v>307</v>
      </c>
      <c r="F35" s="5">
        <v>31374</v>
      </c>
      <c r="G35" s="4" t="s">
        <v>308</v>
      </c>
      <c r="H35" s="4" t="s">
        <v>28</v>
      </c>
      <c r="I35" s="4" t="s">
        <v>29</v>
      </c>
      <c r="J35" s="4" t="s">
        <v>309</v>
      </c>
      <c r="K35" s="4" t="s">
        <v>58</v>
      </c>
      <c r="L35" s="4" t="s">
        <v>46</v>
      </c>
      <c r="M35" s="4" t="s">
        <v>47</v>
      </c>
      <c r="N35" s="6"/>
    </row>
    <row r="36" spans="1:14" ht="12.5" hidden="1" x14ac:dyDescent="0.25">
      <c r="A36" s="67">
        <v>45790.76016020833</v>
      </c>
      <c r="B36" s="1" t="s">
        <v>539</v>
      </c>
      <c r="C36" s="1" t="s">
        <v>534</v>
      </c>
      <c r="D36" s="1" t="s">
        <v>540</v>
      </c>
      <c r="E36" s="1" t="s">
        <v>541</v>
      </c>
      <c r="F36" s="2">
        <v>37482</v>
      </c>
      <c r="G36" s="1">
        <v>77575476</v>
      </c>
      <c r="H36" s="1" t="s">
        <v>19</v>
      </c>
      <c r="I36" s="1" t="s">
        <v>38</v>
      </c>
      <c r="J36" s="1" t="s">
        <v>542</v>
      </c>
      <c r="K36" s="1" t="s">
        <v>458</v>
      </c>
      <c r="L36" s="2">
        <v>45794</v>
      </c>
      <c r="M36" s="1" t="s">
        <v>23</v>
      </c>
      <c r="N36" s="3"/>
    </row>
    <row r="37" spans="1:14" ht="12.5" hidden="1" x14ac:dyDescent="0.25">
      <c r="A37" s="68">
        <v>45790.80249342593</v>
      </c>
      <c r="B37" s="4" t="s">
        <v>556</v>
      </c>
      <c r="C37" s="4" t="s">
        <v>1286</v>
      </c>
      <c r="D37" s="4" t="s">
        <v>1287</v>
      </c>
      <c r="E37" s="4" t="s">
        <v>1288</v>
      </c>
      <c r="F37" s="5">
        <v>29131</v>
      </c>
      <c r="G37" s="4" t="s">
        <v>1289</v>
      </c>
      <c r="H37" s="4" t="s">
        <v>28</v>
      </c>
      <c r="I37" s="4" t="s">
        <v>29</v>
      </c>
      <c r="J37" s="4" t="s">
        <v>1290</v>
      </c>
      <c r="K37" s="4" t="s">
        <v>31</v>
      </c>
      <c r="L37" s="5">
        <v>45798</v>
      </c>
      <c r="M37" s="4" t="s">
        <v>40</v>
      </c>
      <c r="N37" s="6"/>
    </row>
    <row r="38" spans="1:14" ht="12.5" hidden="1" x14ac:dyDescent="0.25">
      <c r="A38" s="67">
        <v>45790.804156446757</v>
      </c>
      <c r="B38" s="1" t="s">
        <v>822</v>
      </c>
      <c r="C38" s="1" t="s">
        <v>823</v>
      </c>
      <c r="D38" s="1" t="s">
        <v>824</v>
      </c>
      <c r="E38" s="1" t="s">
        <v>825</v>
      </c>
      <c r="F38" s="2">
        <v>33629</v>
      </c>
      <c r="G38" s="1" t="s">
        <v>826</v>
      </c>
      <c r="H38" s="1" t="s">
        <v>28</v>
      </c>
      <c r="I38" s="1" t="s">
        <v>29</v>
      </c>
      <c r="J38" s="1" t="s">
        <v>827</v>
      </c>
      <c r="K38" s="1" t="s">
        <v>31</v>
      </c>
      <c r="L38" s="1" t="s">
        <v>46</v>
      </c>
      <c r="M38" s="1" t="s">
        <v>23</v>
      </c>
      <c r="N38" s="3"/>
    </row>
    <row r="39" spans="1:14" ht="12.5" hidden="1" x14ac:dyDescent="0.25">
      <c r="A39" s="68">
        <v>45790.80513572917</v>
      </c>
      <c r="B39" s="4" t="s">
        <v>1027</v>
      </c>
      <c r="C39" s="4" t="s">
        <v>1028</v>
      </c>
      <c r="D39" s="4" t="s">
        <v>1029</v>
      </c>
      <c r="E39" s="4" t="s">
        <v>1030</v>
      </c>
      <c r="F39" s="5">
        <v>29382</v>
      </c>
      <c r="G39" s="4" t="s">
        <v>1031</v>
      </c>
      <c r="H39" s="4" t="s">
        <v>28</v>
      </c>
      <c r="I39" s="4" t="s">
        <v>29</v>
      </c>
      <c r="J39" s="4" t="s">
        <v>1032</v>
      </c>
      <c r="K39" s="4" t="s">
        <v>31</v>
      </c>
      <c r="L39" s="4" t="s">
        <v>46</v>
      </c>
      <c r="M39" s="4" t="s">
        <v>47</v>
      </c>
      <c r="N39" s="6"/>
    </row>
    <row r="40" spans="1:14" ht="12.5" hidden="1" x14ac:dyDescent="0.25">
      <c r="A40" s="67">
        <v>45790.806398009256</v>
      </c>
      <c r="B40" s="1" t="s">
        <v>299</v>
      </c>
      <c r="C40" s="1" t="s">
        <v>300</v>
      </c>
      <c r="D40" s="1" t="s">
        <v>301</v>
      </c>
      <c r="E40" s="1" t="s">
        <v>302</v>
      </c>
      <c r="F40" s="2">
        <v>39461</v>
      </c>
      <c r="G40" s="1">
        <v>32659194</v>
      </c>
      <c r="H40" s="1" t="s">
        <v>19</v>
      </c>
      <c r="I40" s="1" t="s">
        <v>29</v>
      </c>
      <c r="J40" s="1" t="s">
        <v>303</v>
      </c>
      <c r="K40" s="1" t="s">
        <v>66</v>
      </c>
      <c r="L40" s="77" t="s">
        <v>46</v>
      </c>
      <c r="M40" s="77" t="s">
        <v>47</v>
      </c>
      <c r="N40" s="3"/>
    </row>
    <row r="41" spans="1:14" ht="12.5" hidden="1" x14ac:dyDescent="0.25">
      <c r="A41" s="68">
        <v>45790.809546666671</v>
      </c>
      <c r="B41" s="4" t="s">
        <v>1412</v>
      </c>
      <c r="C41" s="4" t="s">
        <v>599</v>
      </c>
      <c r="D41" s="4" t="s">
        <v>898</v>
      </c>
      <c r="E41" s="4" t="s">
        <v>1413</v>
      </c>
      <c r="F41" s="5">
        <v>36698</v>
      </c>
      <c r="G41" s="4" t="s">
        <v>1414</v>
      </c>
      <c r="H41" s="4" t="s">
        <v>19</v>
      </c>
      <c r="I41" s="4" t="s">
        <v>29</v>
      </c>
      <c r="J41" s="4" t="s">
        <v>1415</v>
      </c>
      <c r="K41" s="4" t="s">
        <v>66</v>
      </c>
      <c r="L41" s="4" t="s">
        <v>46</v>
      </c>
      <c r="M41" s="4" t="s">
        <v>23</v>
      </c>
      <c r="N41" s="6"/>
    </row>
    <row r="42" spans="1:14" ht="12.5" hidden="1" x14ac:dyDescent="0.25">
      <c r="A42" s="67">
        <v>45790.814810115742</v>
      </c>
      <c r="B42" s="1" t="s">
        <v>1408</v>
      </c>
      <c r="C42" s="1" t="s">
        <v>599</v>
      </c>
      <c r="D42" s="1" t="s">
        <v>898</v>
      </c>
      <c r="E42" s="1" t="s">
        <v>1409</v>
      </c>
      <c r="F42" s="2">
        <v>37887</v>
      </c>
      <c r="G42" s="1" t="s">
        <v>1410</v>
      </c>
      <c r="H42" s="1" t="s">
        <v>19</v>
      </c>
      <c r="I42" s="1" t="s">
        <v>29</v>
      </c>
      <c r="J42" s="1" t="s">
        <v>1411</v>
      </c>
      <c r="K42" s="1" t="s">
        <v>66</v>
      </c>
      <c r="L42" s="1" t="s">
        <v>46</v>
      </c>
      <c r="M42" s="1" t="s">
        <v>23</v>
      </c>
      <c r="N42" s="3"/>
    </row>
    <row r="43" spans="1:14" ht="12.5" hidden="1" x14ac:dyDescent="0.25">
      <c r="A43" s="68">
        <v>45790.829257083329</v>
      </c>
      <c r="B43" s="4" t="s">
        <v>1265</v>
      </c>
      <c r="C43" s="4" t="s">
        <v>1266</v>
      </c>
      <c r="D43" s="4" t="s">
        <v>42</v>
      </c>
      <c r="E43" s="4" t="s">
        <v>1267</v>
      </c>
      <c r="F43" s="5">
        <v>39958</v>
      </c>
      <c r="G43" s="4">
        <v>95156349</v>
      </c>
      <c r="H43" s="4" t="s">
        <v>19</v>
      </c>
      <c r="I43" s="4" t="s">
        <v>29</v>
      </c>
      <c r="J43" s="4" t="s">
        <v>1268</v>
      </c>
      <c r="K43" s="4" t="s">
        <v>66</v>
      </c>
      <c r="L43" s="4" t="s">
        <v>46</v>
      </c>
      <c r="M43" s="4" t="s">
        <v>47</v>
      </c>
      <c r="N43" s="6"/>
    </row>
    <row r="44" spans="1:14" ht="12.5" hidden="1" x14ac:dyDescent="0.25">
      <c r="A44" s="67">
        <v>45790.834939513894</v>
      </c>
      <c r="B44" s="1" t="s">
        <v>1130</v>
      </c>
      <c r="C44" s="1" t="s">
        <v>1149</v>
      </c>
      <c r="D44" s="1" t="s">
        <v>1150</v>
      </c>
      <c r="E44" s="1">
        <v>163219212</v>
      </c>
      <c r="F44" s="2">
        <v>31505</v>
      </c>
      <c r="G44" s="1" t="s">
        <v>1151</v>
      </c>
      <c r="H44" s="1" t="s">
        <v>28</v>
      </c>
      <c r="I44" s="1" t="s">
        <v>29</v>
      </c>
      <c r="J44" s="1" t="s">
        <v>1152</v>
      </c>
      <c r="K44" s="1" t="s">
        <v>31</v>
      </c>
      <c r="L44" s="2">
        <v>45796</v>
      </c>
      <c r="M44" s="1" t="s">
        <v>23</v>
      </c>
      <c r="N44" s="3"/>
    </row>
    <row r="45" spans="1:14" ht="12.5" hidden="1" x14ac:dyDescent="0.25">
      <c r="A45" s="68">
        <v>45790.835734560183</v>
      </c>
      <c r="B45" s="4" t="s">
        <v>1053</v>
      </c>
      <c r="C45" s="4" t="s">
        <v>1046</v>
      </c>
      <c r="D45" s="4" t="s">
        <v>1054</v>
      </c>
      <c r="E45" s="4" t="s">
        <v>1055</v>
      </c>
      <c r="F45" s="5">
        <v>38223</v>
      </c>
      <c r="G45" s="4">
        <v>975946977</v>
      </c>
      <c r="H45" s="4" t="s">
        <v>19</v>
      </c>
      <c r="I45" s="4" t="s">
        <v>29</v>
      </c>
      <c r="J45" s="4" t="s">
        <v>1056</v>
      </c>
      <c r="K45" s="4" t="s">
        <v>66</v>
      </c>
      <c r="L45" s="79"/>
      <c r="M45" s="4"/>
      <c r="N45" s="6"/>
    </row>
    <row r="46" spans="1:14" ht="12.5" hidden="1" x14ac:dyDescent="0.25">
      <c r="A46" s="67">
        <v>45790.892182430558</v>
      </c>
      <c r="B46" s="1" t="s">
        <v>1443</v>
      </c>
      <c r="C46" s="1" t="s">
        <v>1444</v>
      </c>
      <c r="D46" s="1" t="s">
        <v>1445</v>
      </c>
      <c r="E46" s="1" t="s">
        <v>1446</v>
      </c>
      <c r="F46" s="2">
        <v>26925</v>
      </c>
      <c r="G46" s="1">
        <v>65648165</v>
      </c>
      <c r="H46" s="1" t="s">
        <v>19</v>
      </c>
      <c r="I46" s="1" t="s">
        <v>29</v>
      </c>
      <c r="J46" s="1" t="s">
        <v>1447</v>
      </c>
      <c r="K46" s="1" t="s">
        <v>31</v>
      </c>
      <c r="L46" s="81"/>
      <c r="M46" s="1"/>
      <c r="N46" s="3"/>
    </row>
    <row r="47" spans="1:14" ht="12.5" hidden="1" x14ac:dyDescent="0.25">
      <c r="A47" s="68">
        <v>45791.031574537032</v>
      </c>
      <c r="B47" s="4" t="s">
        <v>1094</v>
      </c>
      <c r="C47" s="4" t="s">
        <v>1095</v>
      </c>
      <c r="D47" s="4" t="s">
        <v>1096</v>
      </c>
      <c r="E47" s="4" t="s">
        <v>1097</v>
      </c>
      <c r="F47" s="5">
        <v>26733</v>
      </c>
      <c r="G47" s="4" t="s">
        <v>1098</v>
      </c>
      <c r="H47" s="4" t="s">
        <v>28</v>
      </c>
      <c r="I47" s="4" t="s">
        <v>29</v>
      </c>
      <c r="J47" s="4" t="s">
        <v>1099</v>
      </c>
      <c r="K47" s="4" t="s">
        <v>31</v>
      </c>
      <c r="L47" s="5">
        <v>45794</v>
      </c>
      <c r="M47" s="4" t="s">
        <v>23</v>
      </c>
      <c r="N47" s="6"/>
    </row>
    <row r="48" spans="1:14" ht="12.5" hidden="1" x14ac:dyDescent="0.25">
      <c r="A48" s="67">
        <v>45791.409248634256</v>
      </c>
      <c r="B48" s="1" t="s">
        <v>964</v>
      </c>
      <c r="C48" s="1" t="s">
        <v>965</v>
      </c>
      <c r="D48" s="1" t="s">
        <v>271</v>
      </c>
      <c r="E48" s="1" t="s">
        <v>966</v>
      </c>
      <c r="F48" s="2">
        <v>29158</v>
      </c>
      <c r="G48" s="1" t="s">
        <v>967</v>
      </c>
      <c r="H48" s="1" t="s">
        <v>28</v>
      </c>
      <c r="I48" s="1" t="s">
        <v>29</v>
      </c>
      <c r="J48" s="1" t="s">
        <v>968</v>
      </c>
      <c r="K48" s="1" t="s">
        <v>31</v>
      </c>
      <c r="L48" s="84">
        <v>45801</v>
      </c>
      <c r="M48" s="1"/>
      <c r="N48" s="3"/>
    </row>
    <row r="49" spans="1:17" ht="12.5" hidden="1" x14ac:dyDescent="0.25">
      <c r="A49" s="68">
        <v>45791.409934224532</v>
      </c>
      <c r="B49" s="4" t="s">
        <v>135</v>
      </c>
      <c r="C49" s="4" t="s">
        <v>444</v>
      </c>
      <c r="D49" s="4" t="s">
        <v>445</v>
      </c>
      <c r="E49" s="4" t="s">
        <v>446</v>
      </c>
      <c r="F49" s="5">
        <v>31147</v>
      </c>
      <c r="G49" s="4" t="s">
        <v>447</v>
      </c>
      <c r="H49" s="4" t="s">
        <v>28</v>
      </c>
      <c r="I49" s="4" t="s">
        <v>29</v>
      </c>
      <c r="J49" s="4" t="s">
        <v>448</v>
      </c>
      <c r="K49" s="4" t="s">
        <v>31</v>
      </c>
      <c r="L49" s="86">
        <v>45801</v>
      </c>
      <c r="M49" s="4"/>
      <c r="N49" s="6"/>
    </row>
    <row r="50" spans="1:17" ht="12.5" hidden="1" x14ac:dyDescent="0.25">
      <c r="A50" s="67">
        <v>45791.411132094909</v>
      </c>
      <c r="B50" s="1" t="s">
        <v>971</v>
      </c>
      <c r="C50" s="1" t="s">
        <v>965</v>
      </c>
      <c r="D50" s="1" t="s">
        <v>444</v>
      </c>
      <c r="E50" s="1" t="s">
        <v>972</v>
      </c>
      <c r="F50" s="2">
        <v>43972</v>
      </c>
      <c r="G50" s="1" t="s">
        <v>967</v>
      </c>
      <c r="H50" s="1" t="s">
        <v>19</v>
      </c>
      <c r="I50" s="1" t="s">
        <v>29</v>
      </c>
      <c r="J50" s="1" t="s">
        <v>968</v>
      </c>
      <c r="K50" s="1" t="s">
        <v>66</v>
      </c>
      <c r="L50" s="81"/>
      <c r="M50" s="1"/>
      <c r="N50" s="3"/>
    </row>
    <row r="51" spans="1:17" ht="12.5" hidden="1" x14ac:dyDescent="0.25">
      <c r="A51" s="68">
        <v>45791.411669340276</v>
      </c>
      <c r="B51" s="4" t="s">
        <v>969</v>
      </c>
      <c r="C51" s="4" t="s">
        <v>965</v>
      </c>
      <c r="D51" s="4" t="s">
        <v>444</v>
      </c>
      <c r="E51" s="4" t="s">
        <v>970</v>
      </c>
      <c r="F51" s="5">
        <v>40704</v>
      </c>
      <c r="G51" s="4" t="s">
        <v>967</v>
      </c>
      <c r="H51" s="4" t="s">
        <v>19</v>
      </c>
      <c r="I51" s="4" t="s">
        <v>29</v>
      </c>
      <c r="J51" s="4" t="s">
        <v>968</v>
      </c>
      <c r="K51" s="4" t="s">
        <v>66</v>
      </c>
      <c r="L51" s="79"/>
      <c r="M51" s="4"/>
      <c r="N51" s="6"/>
    </row>
    <row r="52" spans="1:17" ht="12.5" hidden="1" x14ac:dyDescent="0.25">
      <c r="A52" s="67">
        <v>45791.460789201388</v>
      </c>
      <c r="B52" s="1" t="s">
        <v>1223</v>
      </c>
      <c r="C52" s="1" t="s">
        <v>16</v>
      </c>
      <c r="D52" s="1" t="s">
        <v>1038</v>
      </c>
      <c r="E52" s="1" t="s">
        <v>1347</v>
      </c>
      <c r="F52" s="2">
        <v>37827</v>
      </c>
      <c r="G52" s="1">
        <v>996767464</v>
      </c>
      <c r="H52" s="1" t="s">
        <v>28</v>
      </c>
      <c r="I52" s="1" t="s">
        <v>29</v>
      </c>
      <c r="J52" s="1" t="s">
        <v>1348</v>
      </c>
      <c r="K52" s="1" t="s">
        <v>194</v>
      </c>
      <c r="L52" s="1" t="s">
        <v>46</v>
      </c>
      <c r="M52" s="1" t="s">
        <v>59</v>
      </c>
      <c r="N52" s="3"/>
    </row>
    <row r="53" spans="1:17" ht="12.5" hidden="1" x14ac:dyDescent="0.25">
      <c r="A53" s="68">
        <v>45791.510155462965</v>
      </c>
      <c r="B53" s="4" t="s">
        <v>903</v>
      </c>
      <c r="C53" s="4" t="s">
        <v>904</v>
      </c>
      <c r="D53" s="4" t="s">
        <v>709</v>
      </c>
      <c r="E53" s="4">
        <v>128746048</v>
      </c>
      <c r="F53" s="5">
        <v>27372</v>
      </c>
      <c r="G53" s="4" t="s">
        <v>905</v>
      </c>
      <c r="H53" s="4" t="s">
        <v>28</v>
      </c>
      <c r="I53" s="4" t="s">
        <v>29</v>
      </c>
      <c r="J53" s="4" t="s">
        <v>712</v>
      </c>
      <c r="K53" s="77" t="s">
        <v>31</v>
      </c>
      <c r="L53" s="83">
        <v>45795</v>
      </c>
      <c r="M53" s="77" t="s">
        <v>59</v>
      </c>
      <c r="N53" s="6"/>
    </row>
    <row r="54" spans="1:17" ht="12.5" hidden="1" x14ac:dyDescent="0.25">
      <c r="A54" s="67">
        <v>45791.531266724538</v>
      </c>
      <c r="B54" s="1" t="s">
        <v>459</v>
      </c>
      <c r="C54" s="1" t="s">
        <v>540</v>
      </c>
      <c r="D54" s="1" t="s">
        <v>185</v>
      </c>
      <c r="E54" s="1" t="s">
        <v>1424</v>
      </c>
      <c r="F54" s="2">
        <v>28440</v>
      </c>
      <c r="G54" s="1" t="s">
        <v>1425</v>
      </c>
      <c r="H54" s="1" t="s">
        <v>28</v>
      </c>
      <c r="I54" s="1" t="s">
        <v>1426</v>
      </c>
      <c r="J54" s="1" t="s">
        <v>1166</v>
      </c>
      <c r="K54" s="1" t="s">
        <v>458</v>
      </c>
      <c r="L54" s="94">
        <v>45801</v>
      </c>
      <c r="M54" s="1"/>
      <c r="N54" s="3"/>
    </row>
    <row r="55" spans="1:17" ht="12.5" hidden="1" x14ac:dyDescent="0.25">
      <c r="A55" s="68">
        <v>45791.532878182872</v>
      </c>
      <c r="B55" s="4" t="s">
        <v>1160</v>
      </c>
      <c r="C55" s="4" t="s">
        <v>1161</v>
      </c>
      <c r="D55" s="4" t="s">
        <v>1162</v>
      </c>
      <c r="E55" s="4" t="s">
        <v>1163</v>
      </c>
      <c r="F55" s="5">
        <v>30052</v>
      </c>
      <c r="G55" s="4" t="s">
        <v>1164</v>
      </c>
      <c r="H55" s="4" t="s">
        <v>28</v>
      </c>
      <c r="I55" s="4" t="s">
        <v>1165</v>
      </c>
      <c r="J55" s="4" t="s">
        <v>1166</v>
      </c>
      <c r="K55" s="4" t="s">
        <v>458</v>
      </c>
      <c r="L55" s="5">
        <v>45801</v>
      </c>
      <c r="M55" s="4"/>
      <c r="N55" s="6"/>
    </row>
    <row r="56" spans="1:17" ht="12.5" hidden="1" x14ac:dyDescent="0.25">
      <c r="A56" s="67">
        <v>45791.535044884258</v>
      </c>
      <c r="B56" s="1" t="s">
        <v>1427</v>
      </c>
      <c r="C56" s="1" t="s">
        <v>540</v>
      </c>
      <c r="D56" s="1" t="s">
        <v>1428</v>
      </c>
      <c r="E56" s="1" t="s">
        <v>1429</v>
      </c>
      <c r="F56" s="2">
        <v>38921</v>
      </c>
      <c r="G56" s="1" t="s">
        <v>1430</v>
      </c>
      <c r="H56" s="1" t="s">
        <v>19</v>
      </c>
      <c r="I56" s="1" t="s">
        <v>1431</v>
      </c>
      <c r="J56" s="1" t="s">
        <v>1166</v>
      </c>
      <c r="K56" s="1" t="s">
        <v>458</v>
      </c>
      <c r="L56" s="84">
        <v>45801</v>
      </c>
      <c r="M56" s="1"/>
      <c r="N56" s="3"/>
    </row>
    <row r="57" spans="1:17" ht="12.5" hidden="1" x14ac:dyDescent="0.25">
      <c r="A57" s="68">
        <v>45791.566931504625</v>
      </c>
      <c r="B57" s="4" t="s">
        <v>628</v>
      </c>
      <c r="C57" s="4" t="s">
        <v>1260</v>
      </c>
      <c r="D57" s="4" t="s">
        <v>1261</v>
      </c>
      <c r="E57" s="4" t="s">
        <v>1262</v>
      </c>
      <c r="F57" s="5">
        <v>26386</v>
      </c>
      <c r="G57" s="4" t="s">
        <v>1263</v>
      </c>
      <c r="H57" s="4" t="s">
        <v>28</v>
      </c>
      <c r="I57" s="4" t="s">
        <v>29</v>
      </c>
      <c r="J57" s="4" t="s">
        <v>1264</v>
      </c>
      <c r="K57" s="4" t="s">
        <v>31</v>
      </c>
      <c r="L57" s="4" t="s">
        <v>46</v>
      </c>
      <c r="M57" s="4" t="s">
        <v>59</v>
      </c>
      <c r="N57" s="6"/>
    </row>
    <row r="58" spans="1:17" ht="12.5" hidden="1" x14ac:dyDescent="0.25">
      <c r="A58" s="67">
        <v>45791.584430960647</v>
      </c>
      <c r="B58" s="1" t="s">
        <v>585</v>
      </c>
      <c r="C58" s="1" t="s">
        <v>586</v>
      </c>
      <c r="D58" s="1" t="s">
        <v>479</v>
      </c>
      <c r="E58" s="1" t="s">
        <v>587</v>
      </c>
      <c r="F58" s="2">
        <v>24472</v>
      </c>
      <c r="G58" s="1" t="s">
        <v>588</v>
      </c>
      <c r="H58" s="1" t="s">
        <v>28</v>
      </c>
      <c r="I58" s="1" t="s">
        <v>29</v>
      </c>
      <c r="J58" s="1" t="s">
        <v>589</v>
      </c>
      <c r="K58" s="1" t="s">
        <v>31</v>
      </c>
      <c r="L58" s="1" t="s">
        <v>46</v>
      </c>
      <c r="M58" s="1" t="s">
        <v>59</v>
      </c>
      <c r="N58" s="3"/>
    </row>
    <row r="59" spans="1:17" ht="12.5" hidden="1" x14ac:dyDescent="0.25">
      <c r="A59" s="68">
        <v>45791.782204988427</v>
      </c>
      <c r="B59" s="4" t="s">
        <v>398</v>
      </c>
      <c r="C59" s="4" t="s">
        <v>219</v>
      </c>
      <c r="D59" s="4" t="s">
        <v>399</v>
      </c>
      <c r="E59" s="4">
        <v>188436021</v>
      </c>
      <c r="F59" s="5">
        <v>34476</v>
      </c>
      <c r="G59" s="4">
        <v>932047686</v>
      </c>
      <c r="H59" s="4" t="s">
        <v>19</v>
      </c>
      <c r="I59" s="4" t="s">
        <v>29</v>
      </c>
      <c r="J59" s="4" t="s">
        <v>400</v>
      </c>
      <c r="K59" s="4" t="s">
        <v>66</v>
      </c>
      <c r="L59" s="79"/>
      <c r="M59" s="4"/>
      <c r="N59" s="6"/>
    </row>
    <row r="60" spans="1:17" ht="12.5" hidden="1" x14ac:dyDescent="0.25">
      <c r="A60" s="67">
        <v>45791.783423576388</v>
      </c>
      <c r="B60" s="1" t="s">
        <v>607</v>
      </c>
      <c r="C60" s="1" t="s">
        <v>608</v>
      </c>
      <c r="D60" s="1" t="s">
        <v>609</v>
      </c>
      <c r="E60" s="1">
        <v>206459484</v>
      </c>
      <c r="F60" s="2">
        <v>36870</v>
      </c>
      <c r="G60" s="1">
        <v>988131933</v>
      </c>
      <c r="H60" s="1" t="s">
        <v>19</v>
      </c>
      <c r="I60" s="1" t="s">
        <v>29</v>
      </c>
      <c r="J60" s="1" t="s">
        <v>610</v>
      </c>
      <c r="K60" s="1" t="s">
        <v>66</v>
      </c>
      <c r="L60" s="81"/>
      <c r="M60" s="1"/>
      <c r="N60" s="3"/>
    </row>
    <row r="61" spans="1:17" ht="12.5" hidden="1" x14ac:dyDescent="0.25">
      <c r="A61" s="68">
        <v>45791.836931388891</v>
      </c>
      <c r="B61" s="4" t="s">
        <v>730</v>
      </c>
      <c r="C61" s="4" t="s">
        <v>731</v>
      </c>
      <c r="D61" s="4" t="s">
        <v>732</v>
      </c>
      <c r="E61" s="4">
        <v>192447615</v>
      </c>
      <c r="F61" s="5">
        <v>34891</v>
      </c>
      <c r="G61" s="4" t="s">
        <v>733</v>
      </c>
      <c r="H61" s="4" t="s">
        <v>28</v>
      </c>
      <c r="I61" s="4" t="s">
        <v>29</v>
      </c>
      <c r="J61" s="4" t="s">
        <v>734</v>
      </c>
      <c r="K61" s="4" t="s">
        <v>194</v>
      </c>
      <c r="L61" s="86">
        <v>45801</v>
      </c>
      <c r="M61" s="4"/>
      <c r="N61" s="6">
        <v>10000</v>
      </c>
    </row>
    <row r="62" spans="1:17" ht="12.5" hidden="1" x14ac:dyDescent="0.25">
      <c r="A62" s="67">
        <v>45791.885208310181</v>
      </c>
      <c r="B62" s="1" t="s">
        <v>500</v>
      </c>
      <c r="C62" s="1" t="s">
        <v>231</v>
      </c>
      <c r="D62" s="1" t="s">
        <v>501</v>
      </c>
      <c r="E62" s="1">
        <v>106717575</v>
      </c>
      <c r="F62" s="2">
        <v>26414</v>
      </c>
      <c r="G62" s="1" t="s">
        <v>502</v>
      </c>
      <c r="H62" s="1" t="s">
        <v>28</v>
      </c>
      <c r="I62" s="1" t="s">
        <v>29</v>
      </c>
      <c r="J62" s="1" t="s">
        <v>503</v>
      </c>
      <c r="K62" s="1" t="s">
        <v>91</v>
      </c>
      <c r="L62" s="77" t="s">
        <v>46</v>
      </c>
      <c r="M62" s="77" t="s">
        <v>59</v>
      </c>
      <c r="N62" s="3"/>
    </row>
    <row r="63" spans="1:17" ht="12.5" hidden="1" x14ac:dyDescent="0.25">
      <c r="A63" s="70">
        <v>45791.892676261574</v>
      </c>
      <c r="B63" s="72" t="s">
        <v>189</v>
      </c>
      <c r="C63" s="72" t="s">
        <v>190</v>
      </c>
      <c r="D63" s="72" t="s">
        <v>191</v>
      </c>
      <c r="E63" s="72" t="s">
        <v>192</v>
      </c>
      <c r="F63" s="74">
        <v>33123</v>
      </c>
      <c r="G63" s="72">
        <v>953599033</v>
      </c>
      <c r="H63" s="72" t="s">
        <v>28</v>
      </c>
      <c r="I63" s="72" t="s">
        <v>29</v>
      </c>
      <c r="J63" s="72" t="s">
        <v>193</v>
      </c>
      <c r="K63" s="72" t="s">
        <v>194</v>
      </c>
      <c r="L63" s="74">
        <v>45799</v>
      </c>
      <c r="M63" s="72" t="s">
        <v>40</v>
      </c>
      <c r="N63" s="89"/>
    </row>
    <row r="64" spans="1:17" ht="12.5" hidden="1" x14ac:dyDescent="0.25">
      <c r="A64" s="67">
        <v>45792.003115312502</v>
      </c>
      <c r="B64" s="1" t="s">
        <v>1022</v>
      </c>
      <c r="C64" s="1" t="s">
        <v>535</v>
      </c>
      <c r="D64" s="1" t="s">
        <v>594</v>
      </c>
      <c r="E64" s="1" t="s">
        <v>1436</v>
      </c>
      <c r="F64" s="2">
        <v>29315</v>
      </c>
      <c r="G64" s="1" t="s">
        <v>1437</v>
      </c>
      <c r="H64" s="1" t="s">
        <v>78</v>
      </c>
      <c r="I64" s="1" t="s">
        <v>38</v>
      </c>
      <c r="J64" s="1" t="s">
        <v>1438</v>
      </c>
      <c r="K64" s="1" t="s">
        <v>458</v>
      </c>
      <c r="L64" s="84">
        <v>45801</v>
      </c>
      <c r="M64" s="81"/>
      <c r="N64" s="3"/>
      <c r="O64" s="10"/>
      <c r="P64" s="10"/>
      <c r="Q64" s="10"/>
    </row>
    <row r="65" spans="1:17" ht="12.5" hidden="1" x14ac:dyDescent="0.25">
      <c r="A65" s="68">
        <v>45792.532092708338</v>
      </c>
      <c r="B65" s="4" t="s">
        <v>405</v>
      </c>
      <c r="C65" s="4" t="s">
        <v>406</v>
      </c>
      <c r="D65" s="4" t="s">
        <v>407</v>
      </c>
      <c r="E65" s="4" t="s">
        <v>408</v>
      </c>
      <c r="F65" s="5">
        <v>45871</v>
      </c>
      <c r="G65" s="4">
        <v>984777850</v>
      </c>
      <c r="H65" s="4" t="s">
        <v>28</v>
      </c>
      <c r="I65" s="4" t="s">
        <v>29</v>
      </c>
      <c r="J65" s="4" t="s">
        <v>409</v>
      </c>
      <c r="K65" s="4" t="s">
        <v>58</v>
      </c>
      <c r="L65" s="79"/>
      <c r="M65" s="79"/>
      <c r="N65" s="6"/>
    </row>
    <row r="66" spans="1:17" ht="12.5" hidden="1" x14ac:dyDescent="0.25">
      <c r="A66" s="67">
        <v>45792.818719907409</v>
      </c>
      <c r="B66" s="1" t="s">
        <v>842</v>
      </c>
      <c r="C66" s="1" t="s">
        <v>843</v>
      </c>
      <c r="D66" s="1" t="s">
        <v>844</v>
      </c>
      <c r="E66" s="1">
        <v>174221642</v>
      </c>
      <c r="F66" s="2">
        <v>33107</v>
      </c>
      <c r="G66" s="1">
        <v>952268752</v>
      </c>
      <c r="H66" s="1" t="s">
        <v>28</v>
      </c>
      <c r="I66" s="1" t="s">
        <v>29</v>
      </c>
      <c r="J66" s="1" t="s">
        <v>845</v>
      </c>
      <c r="K66" s="77" t="s">
        <v>58</v>
      </c>
      <c r="L66" s="77" t="s">
        <v>46</v>
      </c>
      <c r="M66" s="77" t="s">
        <v>59</v>
      </c>
      <c r="N66" s="77"/>
    </row>
    <row r="67" spans="1:17" ht="12.5" hidden="1" x14ac:dyDescent="0.25">
      <c r="A67" s="68">
        <v>45792.832395624995</v>
      </c>
      <c r="B67" s="4" t="s">
        <v>504</v>
      </c>
      <c r="C67" s="4" t="s">
        <v>231</v>
      </c>
      <c r="D67" s="4" t="s">
        <v>505</v>
      </c>
      <c r="E67" s="4">
        <v>234829319</v>
      </c>
      <c r="F67" s="5">
        <v>40502</v>
      </c>
      <c r="G67" s="4">
        <v>75231393</v>
      </c>
      <c r="H67" s="4" t="s">
        <v>19</v>
      </c>
      <c r="I67" s="4" t="s">
        <v>29</v>
      </c>
      <c r="J67" s="4" t="s">
        <v>506</v>
      </c>
      <c r="K67" s="77" t="s">
        <v>66</v>
      </c>
      <c r="N67" s="77"/>
    </row>
    <row r="68" spans="1:17" ht="12.5" hidden="1" x14ac:dyDescent="0.25">
      <c r="A68" s="67">
        <v>45792.901985787037</v>
      </c>
      <c r="B68" s="1" t="s">
        <v>1327</v>
      </c>
      <c r="C68" s="1" t="s">
        <v>1322</v>
      </c>
      <c r="D68" s="1" t="s">
        <v>1328</v>
      </c>
      <c r="E68" s="1" t="s">
        <v>1329</v>
      </c>
      <c r="F68" s="2">
        <v>37138</v>
      </c>
      <c r="G68" s="1" t="s">
        <v>1330</v>
      </c>
      <c r="H68" s="64" t="s">
        <v>1829</v>
      </c>
      <c r="I68" s="1" t="s">
        <v>29</v>
      </c>
      <c r="J68" s="1" t="s">
        <v>1331</v>
      </c>
      <c r="K68" s="77" t="s">
        <v>66</v>
      </c>
      <c r="L68" s="83">
        <v>45801</v>
      </c>
      <c r="M68" s="77" t="s">
        <v>59</v>
      </c>
      <c r="N68" s="3"/>
    </row>
    <row r="69" spans="1:17" ht="12.5" hidden="1" x14ac:dyDescent="0.25">
      <c r="A69" s="68">
        <v>45792.975215729166</v>
      </c>
      <c r="B69" s="4" t="s">
        <v>256</v>
      </c>
      <c r="C69" s="4" t="s">
        <v>257</v>
      </c>
      <c r="D69" s="4" t="s">
        <v>258</v>
      </c>
      <c r="E69" s="4">
        <v>143845729</v>
      </c>
      <c r="F69" s="5">
        <v>26180</v>
      </c>
      <c r="G69" s="4">
        <v>956189351</v>
      </c>
      <c r="H69" s="4" t="s">
        <v>28</v>
      </c>
      <c r="I69" s="4" t="s">
        <v>29</v>
      </c>
      <c r="J69" s="4" t="s">
        <v>259</v>
      </c>
      <c r="K69" s="4" t="s">
        <v>31</v>
      </c>
      <c r="L69" s="4" t="s">
        <v>46</v>
      </c>
      <c r="M69" s="77" t="s">
        <v>59</v>
      </c>
      <c r="N69" s="6"/>
    </row>
    <row r="70" spans="1:17" ht="12.5" hidden="1" x14ac:dyDescent="0.25">
      <c r="A70" s="67">
        <v>45792.978091944446</v>
      </c>
      <c r="B70" s="1" t="s">
        <v>713</v>
      </c>
      <c r="C70" s="1" t="s">
        <v>709</v>
      </c>
      <c r="D70" s="1" t="s">
        <v>714</v>
      </c>
      <c r="E70" s="1">
        <v>125253792</v>
      </c>
      <c r="F70" s="2">
        <v>26957</v>
      </c>
      <c r="G70" s="1">
        <v>986728936</v>
      </c>
      <c r="H70" s="1" t="s">
        <v>28</v>
      </c>
      <c r="I70" s="1" t="s">
        <v>29</v>
      </c>
      <c r="J70" s="1" t="s">
        <v>715</v>
      </c>
      <c r="K70" s="1" t="s">
        <v>31</v>
      </c>
      <c r="L70" s="1" t="s">
        <v>46</v>
      </c>
      <c r="M70" s="1" t="s">
        <v>59</v>
      </c>
      <c r="N70" s="3"/>
    </row>
    <row r="71" spans="1:17" ht="12.5" hidden="1" x14ac:dyDescent="0.25">
      <c r="A71" s="68">
        <v>45792.989752824069</v>
      </c>
      <c r="B71" s="4" t="s">
        <v>180</v>
      </c>
      <c r="C71" s="4" t="s">
        <v>177</v>
      </c>
      <c r="D71" s="4" t="s">
        <v>42</v>
      </c>
      <c r="E71" s="4">
        <v>154389407</v>
      </c>
      <c r="F71" s="5">
        <v>30062</v>
      </c>
      <c r="G71" s="4" t="s">
        <v>181</v>
      </c>
      <c r="H71" s="4" t="s">
        <v>28</v>
      </c>
      <c r="I71" s="4" t="s">
        <v>29</v>
      </c>
      <c r="J71" s="4" t="s">
        <v>182</v>
      </c>
      <c r="K71" s="4" t="s">
        <v>31</v>
      </c>
      <c r="L71" s="4" t="s">
        <v>46</v>
      </c>
      <c r="M71" s="4" t="s">
        <v>59</v>
      </c>
      <c r="N71" s="6"/>
    </row>
    <row r="72" spans="1:17" ht="12.5" hidden="1" x14ac:dyDescent="0.25">
      <c r="A72" s="67">
        <v>45793.438941851855</v>
      </c>
      <c r="B72" s="1" t="s">
        <v>744</v>
      </c>
      <c r="C72" s="1" t="s">
        <v>745</v>
      </c>
      <c r="D72" s="1" t="s">
        <v>746</v>
      </c>
      <c r="E72" s="1" t="s">
        <v>747</v>
      </c>
      <c r="F72" s="2">
        <v>26246</v>
      </c>
      <c r="G72" s="1" t="s">
        <v>748</v>
      </c>
      <c r="H72" s="1" t="s">
        <v>28</v>
      </c>
      <c r="I72" s="1" t="s">
        <v>29</v>
      </c>
      <c r="J72" s="1" t="s">
        <v>749</v>
      </c>
      <c r="K72" s="1" t="s">
        <v>58</v>
      </c>
      <c r="L72" s="2">
        <v>45799</v>
      </c>
      <c r="M72" s="1" t="s">
        <v>40</v>
      </c>
      <c r="N72" s="3"/>
    </row>
    <row r="73" spans="1:17" ht="12.5" hidden="1" x14ac:dyDescent="0.25">
      <c r="A73" s="68">
        <v>45793.440300787042</v>
      </c>
      <c r="B73" s="4" t="s">
        <v>1241</v>
      </c>
      <c r="C73" s="4" t="s">
        <v>1123</v>
      </c>
      <c r="D73" s="4" t="s">
        <v>647</v>
      </c>
      <c r="E73" s="4" t="s">
        <v>1242</v>
      </c>
      <c r="F73" s="5">
        <v>24548</v>
      </c>
      <c r="G73" s="4" t="s">
        <v>1243</v>
      </c>
      <c r="H73" s="4" t="s">
        <v>28</v>
      </c>
      <c r="I73" s="4" t="s">
        <v>29</v>
      </c>
      <c r="J73" s="4" t="s">
        <v>1244</v>
      </c>
      <c r="K73" s="4" t="s">
        <v>58</v>
      </c>
      <c r="L73" s="5">
        <v>45799</v>
      </c>
      <c r="M73" s="4" t="s">
        <v>40</v>
      </c>
      <c r="N73" s="6"/>
    </row>
    <row r="74" spans="1:17" ht="12.5" hidden="1" x14ac:dyDescent="0.25">
      <c r="A74" s="70">
        <v>45793.455924444439</v>
      </c>
      <c r="B74" s="72" t="s">
        <v>364</v>
      </c>
      <c r="C74" s="72" t="s">
        <v>365</v>
      </c>
      <c r="D74" s="72" t="s">
        <v>366</v>
      </c>
      <c r="E74" s="72" t="s">
        <v>367</v>
      </c>
      <c r="F74" s="74">
        <v>21876</v>
      </c>
      <c r="G74" s="72">
        <v>974519020</v>
      </c>
      <c r="H74" s="72" t="s">
        <v>28</v>
      </c>
      <c r="I74" s="72" t="s">
        <v>29</v>
      </c>
      <c r="J74" s="72" t="s">
        <v>368</v>
      </c>
      <c r="K74" s="72" t="s">
        <v>58</v>
      </c>
      <c r="L74" s="74">
        <v>45801</v>
      </c>
      <c r="M74" s="78"/>
      <c r="N74" s="89"/>
    </row>
    <row r="75" spans="1:17" ht="12.5" hidden="1" x14ac:dyDescent="0.25">
      <c r="A75" s="68">
        <v>45793.478542569443</v>
      </c>
      <c r="B75" s="4" t="s">
        <v>336</v>
      </c>
      <c r="C75" s="4" t="s">
        <v>320</v>
      </c>
      <c r="D75" s="4" t="s">
        <v>334</v>
      </c>
      <c r="E75" s="4" t="s">
        <v>337</v>
      </c>
      <c r="F75" s="5">
        <v>35774</v>
      </c>
      <c r="G75" s="4" t="s">
        <v>338</v>
      </c>
      <c r="H75" s="4" t="s">
        <v>28</v>
      </c>
      <c r="I75" s="4" t="s">
        <v>29</v>
      </c>
      <c r="J75" s="4" t="s">
        <v>339</v>
      </c>
      <c r="K75" s="4" t="s">
        <v>31</v>
      </c>
      <c r="L75" s="79"/>
      <c r="M75" s="79"/>
      <c r="N75" s="6"/>
    </row>
    <row r="76" spans="1:17" ht="12.5" hidden="1" x14ac:dyDescent="0.25">
      <c r="A76" s="67">
        <v>45793.513719027775</v>
      </c>
      <c r="B76" s="1" t="s">
        <v>533</v>
      </c>
      <c r="C76" s="1" t="s">
        <v>534</v>
      </c>
      <c r="D76" s="1" t="s">
        <v>535</v>
      </c>
      <c r="E76" s="1" t="s">
        <v>536</v>
      </c>
      <c r="F76" s="2">
        <v>38599</v>
      </c>
      <c r="G76" s="1" t="s">
        <v>537</v>
      </c>
      <c r="H76" s="64" t="s">
        <v>1828</v>
      </c>
      <c r="I76" s="1" t="s">
        <v>38</v>
      </c>
      <c r="J76" s="1" t="s">
        <v>538</v>
      </c>
      <c r="K76" s="1" t="s">
        <v>72</v>
      </c>
      <c r="L76" s="63">
        <v>45801</v>
      </c>
      <c r="M76" s="81"/>
      <c r="N76" s="3"/>
      <c r="O76" s="10"/>
      <c r="P76" s="10"/>
      <c r="Q76" s="10"/>
    </row>
    <row r="77" spans="1:17" ht="12.5" hidden="1" x14ac:dyDescent="0.25">
      <c r="A77" s="70">
        <v>45793.547529525458</v>
      </c>
      <c r="B77" s="72" t="s">
        <v>247</v>
      </c>
      <c r="C77" s="72" t="s">
        <v>239</v>
      </c>
      <c r="D77" s="72" t="s">
        <v>248</v>
      </c>
      <c r="E77" s="72" t="s">
        <v>249</v>
      </c>
      <c r="F77" s="74">
        <v>38749</v>
      </c>
      <c r="G77" s="72" t="s">
        <v>250</v>
      </c>
      <c r="H77" s="72" t="s">
        <v>19</v>
      </c>
      <c r="I77" s="72" t="s">
        <v>29</v>
      </c>
      <c r="J77" s="72" t="s">
        <v>251</v>
      </c>
      <c r="K77" s="72" t="s">
        <v>66</v>
      </c>
      <c r="L77" s="72" t="s">
        <v>46</v>
      </c>
      <c r="M77" s="72" t="s">
        <v>59</v>
      </c>
      <c r="N77" s="89"/>
    </row>
    <row r="78" spans="1:17" ht="12.5" hidden="1" x14ac:dyDescent="0.25">
      <c r="A78" s="67">
        <v>45793.549662881946</v>
      </c>
      <c r="B78" s="1" t="s">
        <v>690</v>
      </c>
      <c r="C78" s="1" t="s">
        <v>691</v>
      </c>
      <c r="D78" s="1" t="s">
        <v>231</v>
      </c>
      <c r="E78" s="1" t="s">
        <v>692</v>
      </c>
      <c r="F78" s="2">
        <v>38125</v>
      </c>
      <c r="G78" s="1" t="s">
        <v>693</v>
      </c>
      <c r="H78" s="1" t="s">
        <v>19</v>
      </c>
      <c r="I78" s="1" t="s">
        <v>29</v>
      </c>
      <c r="J78" s="1" t="s">
        <v>694</v>
      </c>
      <c r="K78" s="1" t="s">
        <v>66</v>
      </c>
      <c r="L78" s="77" t="s">
        <v>46</v>
      </c>
      <c r="M78" s="77" t="s">
        <v>59</v>
      </c>
      <c r="N78" s="3"/>
    </row>
    <row r="79" spans="1:17" ht="12.5" hidden="1" x14ac:dyDescent="0.25">
      <c r="A79" s="68">
        <v>45793.552062326387</v>
      </c>
      <c r="B79" s="4" t="s">
        <v>700</v>
      </c>
      <c r="C79" s="4" t="s">
        <v>691</v>
      </c>
      <c r="D79" s="4" t="s">
        <v>696</v>
      </c>
      <c r="E79" s="4" t="s">
        <v>701</v>
      </c>
      <c r="F79" s="5">
        <v>40106</v>
      </c>
      <c r="G79" s="4" t="s">
        <v>702</v>
      </c>
      <c r="H79" s="4" t="s">
        <v>19</v>
      </c>
      <c r="I79" s="4" t="s">
        <v>29</v>
      </c>
      <c r="J79" s="4" t="s">
        <v>703</v>
      </c>
      <c r="K79" s="4" t="s">
        <v>66</v>
      </c>
      <c r="L79" s="4" t="s">
        <v>46</v>
      </c>
      <c r="M79" s="4" t="s">
        <v>59</v>
      </c>
      <c r="N79" s="6"/>
    </row>
    <row r="80" spans="1:17" ht="12.5" hidden="1" x14ac:dyDescent="0.25">
      <c r="A80" s="67">
        <v>45793.560868807872</v>
      </c>
      <c r="B80" s="1" t="s">
        <v>1416</v>
      </c>
      <c r="C80" s="1" t="s">
        <v>1417</v>
      </c>
      <c r="D80" s="1" t="s">
        <v>586</v>
      </c>
      <c r="E80" s="1" t="s">
        <v>1418</v>
      </c>
      <c r="F80" s="2">
        <v>33352</v>
      </c>
      <c r="G80" s="1">
        <v>962760147</v>
      </c>
      <c r="H80" s="1" t="s">
        <v>28</v>
      </c>
      <c r="I80" s="1" t="s">
        <v>38</v>
      </c>
      <c r="J80" s="1" t="s">
        <v>1419</v>
      </c>
      <c r="K80" s="1" t="s">
        <v>458</v>
      </c>
      <c r="L80" s="81"/>
      <c r="M80" s="81"/>
      <c r="N80" s="3"/>
    </row>
    <row r="81" spans="1:14" ht="12.5" hidden="1" x14ac:dyDescent="0.25">
      <c r="A81" s="68">
        <v>45793.677735532408</v>
      </c>
      <c r="B81" s="4" t="s">
        <v>73</v>
      </c>
      <c r="C81" s="4" t="s">
        <v>74</v>
      </c>
      <c r="D81" s="4" t="s">
        <v>75</v>
      </c>
      <c r="E81" s="4" t="s">
        <v>76</v>
      </c>
      <c r="F81" s="5">
        <v>27869</v>
      </c>
      <c r="G81" s="11" t="s">
        <v>77</v>
      </c>
      <c r="H81" s="4" t="s">
        <v>78</v>
      </c>
      <c r="I81" s="4" t="s">
        <v>29</v>
      </c>
      <c r="J81" s="4" t="s">
        <v>79</v>
      </c>
      <c r="K81" s="4" t="s">
        <v>72</v>
      </c>
      <c r="L81" s="4" t="s">
        <v>46</v>
      </c>
      <c r="M81" s="4" t="s">
        <v>59</v>
      </c>
      <c r="N81" s="6"/>
    </row>
    <row r="82" spans="1:14" ht="12.5" hidden="1" x14ac:dyDescent="0.25">
      <c r="A82" s="67">
        <v>45793.710084942126</v>
      </c>
      <c r="B82" s="1" t="s">
        <v>67</v>
      </c>
      <c r="C82" s="1" t="s">
        <v>68</v>
      </c>
      <c r="D82" s="1" t="s">
        <v>69</v>
      </c>
      <c r="E82" s="1" t="s">
        <v>70</v>
      </c>
      <c r="F82" s="2">
        <v>38264</v>
      </c>
      <c r="G82" s="1">
        <v>972630982</v>
      </c>
      <c r="H82" s="1" t="s">
        <v>19</v>
      </c>
      <c r="I82" s="1" t="s">
        <v>38</v>
      </c>
      <c r="J82" s="1" t="s">
        <v>71</v>
      </c>
      <c r="K82" s="1" t="s">
        <v>72</v>
      </c>
      <c r="L82" s="1" t="s">
        <v>46</v>
      </c>
      <c r="M82" s="1" t="s">
        <v>59</v>
      </c>
      <c r="N82" s="3"/>
    </row>
    <row r="83" spans="1:14" ht="12.5" hidden="1" x14ac:dyDescent="0.25">
      <c r="A83" s="68">
        <v>45793.882158368055</v>
      </c>
      <c r="B83" s="4" t="s">
        <v>1296</v>
      </c>
      <c r="C83" s="4" t="s">
        <v>1297</v>
      </c>
      <c r="D83" s="4" t="s">
        <v>1297</v>
      </c>
      <c r="E83" s="4" t="s">
        <v>1298</v>
      </c>
      <c r="F83" s="5">
        <v>32447</v>
      </c>
      <c r="G83" s="4">
        <v>942803506</v>
      </c>
      <c r="H83" s="4" t="s">
        <v>28</v>
      </c>
      <c r="I83" s="4" t="s">
        <v>29</v>
      </c>
      <c r="J83" s="4" t="s">
        <v>1299</v>
      </c>
      <c r="K83" s="4" t="s">
        <v>98</v>
      </c>
      <c r="L83" s="5">
        <v>45800</v>
      </c>
      <c r="M83" s="4" t="s">
        <v>106</v>
      </c>
      <c r="N83" s="6"/>
    </row>
    <row r="84" spans="1:14" ht="12.5" hidden="1" x14ac:dyDescent="0.25">
      <c r="A84" s="67">
        <v>45794.42219513889</v>
      </c>
      <c r="B84" s="1" t="s">
        <v>162</v>
      </c>
      <c r="C84" s="1" t="s">
        <v>157</v>
      </c>
      <c r="D84" s="1" t="s">
        <v>163</v>
      </c>
      <c r="E84" s="1">
        <v>124113660</v>
      </c>
      <c r="F84" s="2">
        <v>27019</v>
      </c>
      <c r="G84" s="1" t="s">
        <v>164</v>
      </c>
      <c r="H84" s="1" t="s">
        <v>28</v>
      </c>
      <c r="I84" s="1" t="s">
        <v>165</v>
      </c>
      <c r="J84" s="1" t="s">
        <v>166</v>
      </c>
      <c r="K84" s="77" t="s">
        <v>72</v>
      </c>
      <c r="L84" s="83">
        <v>45794</v>
      </c>
      <c r="M84" s="77" t="s">
        <v>59</v>
      </c>
      <c r="N84" s="3"/>
    </row>
    <row r="85" spans="1:14" ht="12.5" hidden="1" x14ac:dyDescent="0.25">
      <c r="A85" s="68">
        <v>45794.423642384259</v>
      </c>
      <c r="B85" s="4" t="s">
        <v>958</v>
      </c>
      <c r="C85" s="4" t="s">
        <v>479</v>
      </c>
      <c r="D85" s="4" t="s">
        <v>579</v>
      </c>
      <c r="E85" s="4" t="s">
        <v>959</v>
      </c>
      <c r="F85" s="5">
        <v>27013</v>
      </c>
      <c r="G85" s="4" t="s">
        <v>164</v>
      </c>
      <c r="H85" s="4" t="s">
        <v>28</v>
      </c>
      <c r="I85" s="4" t="s">
        <v>165</v>
      </c>
      <c r="J85" s="4" t="s">
        <v>166</v>
      </c>
      <c r="K85" s="4" t="s">
        <v>72</v>
      </c>
      <c r="L85" s="83">
        <v>45794</v>
      </c>
      <c r="M85" s="4" t="s">
        <v>59</v>
      </c>
      <c r="N85" s="6"/>
    </row>
    <row r="86" spans="1:14" ht="12.5" hidden="1" x14ac:dyDescent="0.25">
      <c r="A86" s="67">
        <v>45794.488149479163</v>
      </c>
      <c r="B86" s="1" t="s">
        <v>1369</v>
      </c>
      <c r="C86" s="1" t="s">
        <v>1364</v>
      </c>
      <c r="D86" s="1" t="s">
        <v>1292</v>
      </c>
      <c r="E86" s="1" t="s">
        <v>1370</v>
      </c>
      <c r="F86" s="2">
        <v>37782</v>
      </c>
      <c r="G86" s="1" t="s">
        <v>1360</v>
      </c>
      <c r="H86" s="1" t="s">
        <v>19</v>
      </c>
      <c r="I86" s="1" t="s">
        <v>29</v>
      </c>
      <c r="J86" s="1" t="s">
        <v>1361</v>
      </c>
      <c r="K86" s="1" t="s">
        <v>31</v>
      </c>
      <c r="L86" s="83">
        <v>45795</v>
      </c>
      <c r="M86" s="77" t="s">
        <v>59</v>
      </c>
      <c r="N86" s="3"/>
    </row>
    <row r="87" spans="1:14" ht="12.5" hidden="1" x14ac:dyDescent="0.25">
      <c r="A87" s="68">
        <v>45794.679080740738</v>
      </c>
      <c r="B87" s="4" t="s">
        <v>911</v>
      </c>
      <c r="C87" s="4" t="s">
        <v>912</v>
      </c>
      <c r="D87" s="4" t="s">
        <v>913</v>
      </c>
      <c r="E87" s="4">
        <v>136772058</v>
      </c>
      <c r="F87" s="5">
        <v>29192</v>
      </c>
      <c r="G87" s="4">
        <v>61797201</v>
      </c>
      <c r="H87" s="4" t="s">
        <v>78</v>
      </c>
      <c r="I87" s="4" t="s">
        <v>38</v>
      </c>
      <c r="J87" s="4" t="s">
        <v>914</v>
      </c>
      <c r="K87" s="4" t="s">
        <v>72</v>
      </c>
      <c r="L87" s="86">
        <v>45801</v>
      </c>
      <c r="M87" s="79"/>
      <c r="N87" s="6"/>
    </row>
    <row r="88" spans="1:14" ht="12.5" hidden="1" x14ac:dyDescent="0.25">
      <c r="A88" s="67">
        <v>45794.681049687497</v>
      </c>
      <c r="B88" s="1" t="s">
        <v>1302</v>
      </c>
      <c r="C88" s="1" t="s">
        <v>1300</v>
      </c>
      <c r="D88" s="1" t="s">
        <v>1301</v>
      </c>
      <c r="E88" s="1">
        <v>120714899</v>
      </c>
      <c r="F88" s="2">
        <v>24928</v>
      </c>
      <c r="G88" s="1">
        <v>95797725</v>
      </c>
      <c r="H88" s="1" t="s">
        <v>78</v>
      </c>
      <c r="I88" s="1" t="s">
        <v>38</v>
      </c>
      <c r="J88" s="1" t="s">
        <v>914</v>
      </c>
      <c r="K88" s="1" t="s">
        <v>72</v>
      </c>
      <c r="L88" s="84">
        <v>45801</v>
      </c>
      <c r="M88" s="81"/>
      <c r="N88" s="3"/>
    </row>
    <row r="89" spans="1:14" ht="12.5" hidden="1" x14ac:dyDescent="0.25">
      <c r="A89" s="68">
        <v>45794.682381250001</v>
      </c>
      <c r="B89" s="4" t="s">
        <v>667</v>
      </c>
      <c r="C89" s="4" t="s">
        <v>286</v>
      </c>
      <c r="D89" s="4" t="s">
        <v>668</v>
      </c>
      <c r="E89" s="4">
        <v>262406040</v>
      </c>
      <c r="F89" s="5">
        <v>34310</v>
      </c>
      <c r="G89" s="4">
        <v>941608990</v>
      </c>
      <c r="H89" s="4" t="s">
        <v>78</v>
      </c>
      <c r="I89" s="4" t="s">
        <v>669</v>
      </c>
      <c r="J89" s="4" t="s">
        <v>670</v>
      </c>
      <c r="K89" s="4" t="s">
        <v>22</v>
      </c>
      <c r="L89" s="79"/>
      <c r="M89" s="79"/>
      <c r="N89" s="6"/>
    </row>
    <row r="90" spans="1:14" ht="12.5" hidden="1" x14ac:dyDescent="0.25">
      <c r="A90" s="67">
        <v>45794.683226863424</v>
      </c>
      <c r="B90" s="1" t="s">
        <v>779</v>
      </c>
      <c r="C90" s="1" t="s">
        <v>780</v>
      </c>
      <c r="D90" s="1" t="s">
        <v>781</v>
      </c>
      <c r="E90" s="1">
        <v>263433920</v>
      </c>
      <c r="F90" s="2">
        <v>32791</v>
      </c>
      <c r="G90" s="1">
        <v>941608990</v>
      </c>
      <c r="H90" s="1" t="s">
        <v>78</v>
      </c>
      <c r="I90" s="1" t="s">
        <v>782</v>
      </c>
      <c r="J90" s="1" t="s">
        <v>670</v>
      </c>
      <c r="K90" s="1" t="s">
        <v>22</v>
      </c>
      <c r="L90" s="81"/>
      <c r="M90" s="81"/>
      <c r="N90" s="3"/>
    </row>
    <row r="91" spans="1:14" ht="12.5" hidden="1" x14ac:dyDescent="0.25">
      <c r="A91" s="68">
        <v>45794.845434328701</v>
      </c>
      <c r="B91" s="4" t="s">
        <v>1045</v>
      </c>
      <c r="C91" s="4" t="s">
        <v>1046</v>
      </c>
      <c r="D91" s="4" t="s">
        <v>1047</v>
      </c>
      <c r="E91" s="4" t="s">
        <v>1048</v>
      </c>
      <c r="F91" s="5">
        <v>39477</v>
      </c>
      <c r="G91" s="4">
        <v>87367227</v>
      </c>
      <c r="H91" s="4" t="s">
        <v>19</v>
      </c>
      <c r="I91" s="4" t="s">
        <v>29</v>
      </c>
      <c r="J91" s="4" t="s">
        <v>1049</v>
      </c>
      <c r="K91" s="4" t="s">
        <v>66</v>
      </c>
      <c r="L91" s="5">
        <v>45794</v>
      </c>
      <c r="M91" s="4" t="s">
        <v>59</v>
      </c>
      <c r="N91" s="6"/>
    </row>
    <row r="92" spans="1:14" ht="12.5" hidden="1" x14ac:dyDescent="0.25">
      <c r="A92" s="67">
        <v>45794.84718423611</v>
      </c>
      <c r="B92" s="1" t="s">
        <v>620</v>
      </c>
      <c r="C92" s="1" t="s">
        <v>612</v>
      </c>
      <c r="D92" s="1" t="s">
        <v>505</v>
      </c>
      <c r="E92" s="1" t="s">
        <v>621</v>
      </c>
      <c r="F92" s="2">
        <v>35007</v>
      </c>
      <c r="G92" s="1" t="s">
        <v>622</v>
      </c>
      <c r="H92" s="1" t="s">
        <v>28</v>
      </c>
      <c r="I92" s="1" t="s">
        <v>29</v>
      </c>
      <c r="J92" s="1" t="s">
        <v>623</v>
      </c>
      <c r="K92" s="1" t="s">
        <v>31</v>
      </c>
      <c r="L92" s="1" t="s">
        <v>46</v>
      </c>
      <c r="M92" s="1" t="s">
        <v>59</v>
      </c>
      <c r="N92" s="3"/>
    </row>
    <row r="93" spans="1:14" ht="12.5" hidden="1" x14ac:dyDescent="0.25">
      <c r="A93" s="68">
        <v>45794.874635520835</v>
      </c>
      <c r="B93" s="4" t="s">
        <v>477</v>
      </c>
      <c r="C93" s="4" t="s">
        <v>478</v>
      </c>
      <c r="D93" s="4" t="s">
        <v>479</v>
      </c>
      <c r="E93" s="4">
        <v>94729130</v>
      </c>
      <c r="F93" s="5">
        <v>22834</v>
      </c>
      <c r="G93" s="4" t="s">
        <v>480</v>
      </c>
      <c r="H93" s="4" t="s">
        <v>28</v>
      </c>
      <c r="I93" s="4" t="s">
        <v>29</v>
      </c>
      <c r="J93" s="4" t="s">
        <v>481</v>
      </c>
      <c r="K93" s="77" t="s">
        <v>482</v>
      </c>
      <c r="L93" s="83">
        <v>45794</v>
      </c>
      <c r="M93" s="77" t="s">
        <v>59</v>
      </c>
      <c r="N93" s="77"/>
    </row>
    <row r="94" spans="1:14" ht="12.5" hidden="1" x14ac:dyDescent="0.25">
      <c r="A94" s="67">
        <v>45794.929868298612</v>
      </c>
      <c r="B94" s="1" t="s">
        <v>656</v>
      </c>
      <c r="C94" s="1" t="s">
        <v>651</v>
      </c>
      <c r="D94" s="1" t="s">
        <v>657</v>
      </c>
      <c r="E94" s="1" t="s">
        <v>658</v>
      </c>
      <c r="F94" s="2">
        <v>35026</v>
      </c>
      <c r="G94" s="1">
        <v>59036884</v>
      </c>
      <c r="H94" s="1" t="s">
        <v>78</v>
      </c>
      <c r="I94" s="1" t="s">
        <v>38</v>
      </c>
      <c r="J94" s="1" t="s">
        <v>659</v>
      </c>
      <c r="K94" s="1" t="s">
        <v>660</v>
      </c>
      <c r="L94" s="1" t="s">
        <v>46</v>
      </c>
      <c r="M94" s="1" t="s">
        <v>59</v>
      </c>
      <c r="N94" s="3" t="s">
        <v>661</v>
      </c>
    </row>
    <row r="95" spans="1:14" ht="12.5" hidden="1" x14ac:dyDescent="0.25">
      <c r="A95" s="68">
        <v>45794.954434884261</v>
      </c>
      <c r="B95" s="4" t="s">
        <v>735</v>
      </c>
      <c r="C95" s="4" t="s">
        <v>736</v>
      </c>
      <c r="D95" s="4" t="s">
        <v>737</v>
      </c>
      <c r="E95" s="4" t="s">
        <v>738</v>
      </c>
      <c r="F95" s="5">
        <v>36172</v>
      </c>
      <c r="G95" s="4" t="s">
        <v>739</v>
      </c>
      <c r="H95" s="4" t="s">
        <v>28</v>
      </c>
      <c r="I95" s="4" t="s">
        <v>29</v>
      </c>
      <c r="J95" s="4" t="s">
        <v>740</v>
      </c>
      <c r="K95" s="4" t="s">
        <v>31</v>
      </c>
      <c r="L95" s="77" t="s">
        <v>46</v>
      </c>
      <c r="M95" s="77" t="s">
        <v>23</v>
      </c>
      <c r="N95" s="6"/>
    </row>
    <row r="96" spans="1:14" ht="12.5" hidden="1" x14ac:dyDescent="0.25">
      <c r="A96" s="67">
        <v>45794.957412719908</v>
      </c>
      <c r="B96" s="1" t="s">
        <v>171</v>
      </c>
      <c r="C96" s="1" t="s">
        <v>168</v>
      </c>
      <c r="D96" s="1" t="s">
        <v>172</v>
      </c>
      <c r="E96" s="1" t="s">
        <v>173</v>
      </c>
      <c r="F96" s="2">
        <v>21323</v>
      </c>
      <c r="G96" s="1" t="s">
        <v>174</v>
      </c>
      <c r="H96" s="1" t="s">
        <v>28</v>
      </c>
      <c r="I96" s="1" t="s">
        <v>29</v>
      </c>
      <c r="J96" s="1" t="s">
        <v>175</v>
      </c>
      <c r="K96" s="1" t="s">
        <v>91</v>
      </c>
      <c r="L96" s="1" t="s">
        <v>46</v>
      </c>
      <c r="M96" s="1" t="s">
        <v>59</v>
      </c>
      <c r="N96" s="3"/>
    </row>
    <row r="97" spans="1:14" ht="12.5" x14ac:dyDescent="0.25">
      <c r="A97" s="68">
        <v>45795.016636608794</v>
      </c>
      <c r="B97" s="4" t="s">
        <v>646</v>
      </c>
      <c r="C97" s="4" t="s">
        <v>647</v>
      </c>
      <c r="D97" s="4" t="s">
        <v>648</v>
      </c>
      <c r="E97" s="4">
        <v>179201348</v>
      </c>
      <c r="F97" s="5">
        <v>33515</v>
      </c>
      <c r="G97" s="4">
        <v>938684671</v>
      </c>
      <c r="H97" s="4" t="s">
        <v>28</v>
      </c>
      <c r="I97" s="4" t="s">
        <v>29</v>
      </c>
      <c r="J97" s="4" t="s">
        <v>649</v>
      </c>
      <c r="K97" s="4" t="s">
        <v>31</v>
      </c>
      <c r="L97" s="5">
        <v>45795</v>
      </c>
      <c r="M97" s="4" t="s">
        <v>106</v>
      </c>
      <c r="N97" s="6"/>
    </row>
    <row r="98" spans="1:14" ht="12.5" x14ac:dyDescent="0.25">
      <c r="A98" s="67">
        <v>45795.426740868061</v>
      </c>
      <c r="B98" s="1" t="s">
        <v>285</v>
      </c>
      <c r="C98" s="1" t="s">
        <v>281</v>
      </c>
      <c r="D98" s="1" t="s">
        <v>286</v>
      </c>
      <c r="E98" s="1">
        <v>141666207</v>
      </c>
      <c r="F98" s="2">
        <v>29676</v>
      </c>
      <c r="G98" s="1" t="s">
        <v>287</v>
      </c>
      <c r="H98" s="1" t="s">
        <v>28</v>
      </c>
      <c r="I98" s="1" t="s">
        <v>29</v>
      </c>
      <c r="J98" s="1" t="s">
        <v>288</v>
      </c>
      <c r="K98" s="1" t="s">
        <v>122</v>
      </c>
      <c r="L98" s="83">
        <v>45798</v>
      </c>
      <c r="M98" s="77" t="s">
        <v>106</v>
      </c>
      <c r="N98" s="3"/>
    </row>
    <row r="99" spans="1:14" ht="12.5" x14ac:dyDescent="0.25">
      <c r="A99" s="68">
        <v>45795.428382962964</v>
      </c>
      <c r="B99" s="4" t="s">
        <v>1216</v>
      </c>
      <c r="C99" s="4" t="s">
        <v>290</v>
      </c>
      <c r="D99" s="4" t="s">
        <v>985</v>
      </c>
      <c r="E99" s="4">
        <v>159709647</v>
      </c>
      <c r="F99" s="5">
        <v>31070</v>
      </c>
      <c r="G99" s="4" t="s">
        <v>1217</v>
      </c>
      <c r="H99" s="4" t="s">
        <v>28</v>
      </c>
      <c r="I99" s="4" t="s">
        <v>29</v>
      </c>
      <c r="J99" s="4" t="s">
        <v>1218</v>
      </c>
      <c r="K99" s="4" t="s">
        <v>122</v>
      </c>
      <c r="L99" s="5">
        <v>45798</v>
      </c>
      <c r="M99" s="4" t="s">
        <v>40</v>
      </c>
      <c r="N99" s="6"/>
    </row>
    <row r="100" spans="1:14" ht="12.5" x14ac:dyDescent="0.25">
      <c r="A100" s="67">
        <v>45795.430829155091</v>
      </c>
      <c r="B100" s="1" t="s">
        <v>280</v>
      </c>
      <c r="C100" s="1" t="s">
        <v>281</v>
      </c>
      <c r="D100" s="1" t="s">
        <v>282</v>
      </c>
      <c r="E100" s="1">
        <v>226474897</v>
      </c>
      <c r="F100" s="2">
        <v>39497</v>
      </c>
      <c r="G100" s="1" t="s">
        <v>283</v>
      </c>
      <c r="H100" s="1" t="s">
        <v>19</v>
      </c>
      <c r="I100" s="1" t="s">
        <v>29</v>
      </c>
      <c r="J100" s="1" t="s">
        <v>284</v>
      </c>
      <c r="K100" s="1" t="s">
        <v>66</v>
      </c>
      <c r="L100" s="2">
        <v>45795</v>
      </c>
      <c r="M100" s="1" t="s">
        <v>59</v>
      </c>
      <c r="N100" s="3"/>
    </row>
    <row r="101" spans="1:14" ht="12.5" x14ac:dyDescent="0.25">
      <c r="A101" s="68">
        <v>45795.431416712963</v>
      </c>
      <c r="B101" s="4" t="s">
        <v>289</v>
      </c>
      <c r="C101" s="4" t="s">
        <v>281</v>
      </c>
      <c r="D101" s="4" t="s">
        <v>290</v>
      </c>
      <c r="E101" s="4" t="s">
        <v>291</v>
      </c>
      <c r="F101" s="5">
        <v>37514</v>
      </c>
      <c r="G101" s="4" t="s">
        <v>292</v>
      </c>
      <c r="H101" s="4" t="s">
        <v>19</v>
      </c>
      <c r="I101" s="4" t="s">
        <v>29</v>
      </c>
      <c r="J101" s="4" t="s">
        <v>293</v>
      </c>
      <c r="K101" s="4" t="s">
        <v>31</v>
      </c>
      <c r="L101" s="5">
        <v>45795</v>
      </c>
      <c r="M101" s="4" t="s">
        <v>294</v>
      </c>
      <c r="N101" s="6"/>
    </row>
    <row r="102" spans="1:14" ht="12.5" x14ac:dyDescent="0.25">
      <c r="A102" s="67">
        <v>45795.45312770833</v>
      </c>
      <c r="B102" s="1" t="s">
        <v>1356</v>
      </c>
      <c r="C102" s="1" t="s">
        <v>801</v>
      </c>
      <c r="D102" s="1" t="s">
        <v>856</v>
      </c>
      <c r="E102" s="1" t="s">
        <v>1357</v>
      </c>
      <c r="F102" s="2">
        <v>35037</v>
      </c>
      <c r="G102" s="1" t="s">
        <v>1358</v>
      </c>
      <c r="H102" s="1" t="s">
        <v>28</v>
      </c>
      <c r="I102" s="1" t="s">
        <v>29</v>
      </c>
      <c r="J102" s="1" t="s">
        <v>1359</v>
      </c>
      <c r="K102" s="1" t="s">
        <v>194</v>
      </c>
      <c r="L102" s="2">
        <v>45791</v>
      </c>
      <c r="M102" s="1" t="s">
        <v>59</v>
      </c>
      <c r="N102" s="3"/>
    </row>
    <row r="103" spans="1:14" ht="12.5" x14ac:dyDescent="0.25">
      <c r="A103" s="68">
        <v>45795.45389866898</v>
      </c>
      <c r="B103" s="4" t="s">
        <v>202</v>
      </c>
      <c r="C103" s="4" t="s">
        <v>203</v>
      </c>
      <c r="D103" s="4" t="s">
        <v>204</v>
      </c>
      <c r="E103" s="4" t="s">
        <v>205</v>
      </c>
      <c r="F103" s="5">
        <v>26945</v>
      </c>
      <c r="G103" s="4" t="s">
        <v>206</v>
      </c>
      <c r="H103" s="4" t="s">
        <v>28</v>
      </c>
      <c r="I103" s="4" t="s">
        <v>29</v>
      </c>
      <c r="J103" s="4" t="s">
        <v>207</v>
      </c>
      <c r="K103" s="4" t="s">
        <v>53</v>
      </c>
      <c r="L103" s="5">
        <v>45799</v>
      </c>
      <c r="M103" s="4" t="s">
        <v>40</v>
      </c>
      <c r="N103" s="6"/>
    </row>
    <row r="104" spans="1:14" ht="12.5" x14ac:dyDescent="0.25">
      <c r="A104" s="67">
        <v>45795.455116655095</v>
      </c>
      <c r="B104" s="1" t="s">
        <v>1130</v>
      </c>
      <c r="C104" s="1" t="s">
        <v>856</v>
      </c>
      <c r="D104" s="1" t="s">
        <v>1131</v>
      </c>
      <c r="E104" s="1">
        <v>118524896</v>
      </c>
      <c r="F104" s="2">
        <v>25919</v>
      </c>
      <c r="G104" s="1" t="s">
        <v>1132</v>
      </c>
      <c r="H104" s="1" t="s">
        <v>28</v>
      </c>
      <c r="I104" s="1" t="s">
        <v>29</v>
      </c>
      <c r="J104" s="1" t="s">
        <v>1133</v>
      </c>
      <c r="K104" s="1" t="s">
        <v>98</v>
      </c>
      <c r="L104" s="85" t="s">
        <v>1134</v>
      </c>
      <c r="M104" s="1" t="s">
        <v>59</v>
      </c>
      <c r="N104" s="3"/>
    </row>
    <row r="105" spans="1:14" ht="12.5" x14ac:dyDescent="0.25">
      <c r="A105" s="68">
        <v>45795.456244120374</v>
      </c>
      <c r="B105" s="4" t="s">
        <v>495</v>
      </c>
      <c r="C105" s="4" t="s">
        <v>231</v>
      </c>
      <c r="D105" s="4" t="s">
        <v>496</v>
      </c>
      <c r="E105" s="4" t="s">
        <v>497</v>
      </c>
      <c r="F105" s="5">
        <v>31421</v>
      </c>
      <c r="G105" s="4" t="s">
        <v>498</v>
      </c>
      <c r="H105" s="4" t="s">
        <v>28</v>
      </c>
      <c r="I105" s="4" t="s">
        <v>29</v>
      </c>
      <c r="J105" s="4" t="s">
        <v>499</v>
      </c>
      <c r="K105" s="4" t="s">
        <v>31</v>
      </c>
      <c r="L105" s="83">
        <v>45799</v>
      </c>
      <c r="M105" s="77" t="s">
        <v>40</v>
      </c>
      <c r="N105" s="6"/>
    </row>
    <row r="106" spans="1:14" ht="12.5" x14ac:dyDescent="0.25">
      <c r="A106" s="67">
        <v>45795.481954201387</v>
      </c>
      <c r="B106" s="1" t="s">
        <v>593</v>
      </c>
      <c r="C106" s="1" t="s">
        <v>594</v>
      </c>
      <c r="D106" s="1" t="s">
        <v>582</v>
      </c>
      <c r="E106" s="1" t="s">
        <v>595</v>
      </c>
      <c r="F106" s="2">
        <v>38225</v>
      </c>
      <c r="G106" s="1" t="s">
        <v>596</v>
      </c>
      <c r="H106" s="1" t="s">
        <v>19</v>
      </c>
      <c r="I106" s="1" t="s">
        <v>29</v>
      </c>
      <c r="J106" s="1" t="s">
        <v>597</v>
      </c>
      <c r="K106" s="1" t="s">
        <v>66</v>
      </c>
      <c r="L106" s="2">
        <v>45795</v>
      </c>
      <c r="M106" s="1" t="s">
        <v>59</v>
      </c>
      <c r="N106" s="3"/>
    </row>
    <row r="107" spans="1:14" ht="12.5" x14ac:dyDescent="0.25">
      <c r="A107" s="68">
        <v>45795.491999548613</v>
      </c>
      <c r="B107" s="4" t="s">
        <v>362</v>
      </c>
      <c r="C107" s="4" t="s">
        <v>1038</v>
      </c>
      <c r="D107" s="4" t="s">
        <v>1193</v>
      </c>
      <c r="E107" s="4">
        <v>186994906</v>
      </c>
      <c r="F107" s="5">
        <v>35118</v>
      </c>
      <c r="G107" s="4">
        <v>42393801</v>
      </c>
      <c r="H107" s="4" t="s">
        <v>28</v>
      </c>
      <c r="I107" s="4" t="s">
        <v>29</v>
      </c>
      <c r="J107" s="4" t="s">
        <v>1194</v>
      </c>
      <c r="K107" s="4" t="s">
        <v>31</v>
      </c>
      <c r="L107" s="5">
        <v>45795</v>
      </c>
      <c r="M107" s="4" t="s">
        <v>59</v>
      </c>
      <c r="N107" s="6"/>
    </row>
    <row r="108" spans="1:14" ht="12.5" x14ac:dyDescent="0.25">
      <c r="A108" s="67">
        <v>45795.520237615739</v>
      </c>
      <c r="B108" s="1" t="s">
        <v>333</v>
      </c>
      <c r="C108" s="1" t="s">
        <v>320</v>
      </c>
      <c r="D108" s="1" t="s">
        <v>334</v>
      </c>
      <c r="E108" s="1">
        <v>185691020</v>
      </c>
      <c r="F108" s="2">
        <v>34146</v>
      </c>
      <c r="G108" s="1">
        <v>56983228752</v>
      </c>
      <c r="H108" s="1" t="s">
        <v>28</v>
      </c>
      <c r="I108" s="1" t="s">
        <v>29</v>
      </c>
      <c r="J108" s="1" t="s">
        <v>335</v>
      </c>
      <c r="K108" s="1" t="s">
        <v>31</v>
      </c>
      <c r="L108" s="2">
        <v>45795</v>
      </c>
      <c r="M108" s="1" t="s">
        <v>59</v>
      </c>
      <c r="N108" s="3"/>
    </row>
    <row r="109" spans="1:14" ht="12.5" x14ac:dyDescent="0.25">
      <c r="A109" s="68">
        <v>45795.553002638888</v>
      </c>
      <c r="B109" s="4" t="s">
        <v>759</v>
      </c>
      <c r="C109" s="4" t="s">
        <v>760</v>
      </c>
      <c r="D109" s="4" t="s">
        <v>761</v>
      </c>
      <c r="E109" s="4" t="s">
        <v>762</v>
      </c>
      <c r="F109" s="5">
        <v>15394</v>
      </c>
      <c r="G109" s="4">
        <v>972817377</v>
      </c>
      <c r="H109" s="4" t="s">
        <v>28</v>
      </c>
      <c r="I109" s="4" t="s">
        <v>29</v>
      </c>
      <c r="J109" s="4" t="s">
        <v>763</v>
      </c>
      <c r="K109" s="4" t="s">
        <v>53</v>
      </c>
      <c r="L109" s="5">
        <v>45795</v>
      </c>
      <c r="M109" s="4" t="s">
        <v>59</v>
      </c>
      <c r="N109" s="6"/>
    </row>
    <row r="110" spans="1:14" ht="12.5" x14ac:dyDescent="0.25">
      <c r="A110" s="67">
        <v>45795.553185937504</v>
      </c>
      <c r="B110" s="1" t="s">
        <v>1060</v>
      </c>
      <c r="C110" s="1" t="s">
        <v>642</v>
      </c>
      <c r="D110" s="1" t="s">
        <v>1061</v>
      </c>
      <c r="E110" s="1">
        <v>143624889</v>
      </c>
      <c r="F110" s="2">
        <v>28826</v>
      </c>
      <c r="G110" s="1" t="s">
        <v>643</v>
      </c>
      <c r="H110" s="1" t="s">
        <v>28</v>
      </c>
      <c r="I110" s="1" t="s">
        <v>29</v>
      </c>
      <c r="J110" s="1" t="s">
        <v>644</v>
      </c>
      <c r="K110" s="77" t="s">
        <v>122</v>
      </c>
      <c r="L110" s="83">
        <v>45795</v>
      </c>
      <c r="M110" s="77" t="s">
        <v>59</v>
      </c>
      <c r="N110" s="77"/>
    </row>
    <row r="111" spans="1:14" ht="12.5" x14ac:dyDescent="0.25">
      <c r="A111" s="68">
        <v>45795.553758275462</v>
      </c>
      <c r="B111" s="4" t="s">
        <v>641</v>
      </c>
      <c r="C111" s="4" t="s">
        <v>527</v>
      </c>
      <c r="D111" s="4" t="s">
        <v>642</v>
      </c>
      <c r="E111" s="4">
        <v>220310299</v>
      </c>
      <c r="F111" s="5">
        <v>38740</v>
      </c>
      <c r="G111" s="4" t="s">
        <v>643</v>
      </c>
      <c r="H111" s="4" t="s">
        <v>19</v>
      </c>
      <c r="I111" s="4" t="s">
        <v>29</v>
      </c>
      <c r="J111" s="4" t="s">
        <v>644</v>
      </c>
      <c r="K111" s="4" t="s">
        <v>66</v>
      </c>
      <c r="L111" s="5">
        <v>45795</v>
      </c>
      <c r="M111" s="4" t="s">
        <v>645</v>
      </c>
      <c r="N111" s="6"/>
    </row>
    <row r="112" spans="1:14" ht="12.5" x14ac:dyDescent="0.25">
      <c r="A112" s="67">
        <v>45795.554066932869</v>
      </c>
      <c r="B112" s="1" t="s">
        <v>1245</v>
      </c>
      <c r="C112" s="1" t="s">
        <v>1123</v>
      </c>
      <c r="D112" s="1" t="s">
        <v>1246</v>
      </c>
      <c r="E112" s="1" t="s">
        <v>1247</v>
      </c>
      <c r="F112" s="2">
        <v>23074</v>
      </c>
      <c r="G112" s="1">
        <v>963404492</v>
      </c>
      <c r="H112" s="1" t="s">
        <v>28</v>
      </c>
      <c r="I112" s="1" t="s">
        <v>29</v>
      </c>
      <c r="J112" s="1" t="s">
        <v>1248</v>
      </c>
      <c r="K112" s="1" t="s">
        <v>91</v>
      </c>
      <c r="L112" s="2">
        <v>45796</v>
      </c>
      <c r="M112" s="1" t="s">
        <v>1249</v>
      </c>
      <c r="N112" s="3"/>
    </row>
    <row r="113" spans="1:14" ht="12.5" x14ac:dyDescent="0.25">
      <c r="A113" s="68">
        <v>45795.554601666663</v>
      </c>
      <c r="B113" s="4" t="s">
        <v>80</v>
      </c>
      <c r="C113" s="4" t="s">
        <v>81</v>
      </c>
      <c r="D113" s="4" t="s">
        <v>82</v>
      </c>
      <c r="E113" s="4" t="s">
        <v>83</v>
      </c>
      <c r="F113" s="5">
        <v>33381</v>
      </c>
      <c r="G113" s="4">
        <v>998133052</v>
      </c>
      <c r="H113" s="75" t="s">
        <v>1829</v>
      </c>
      <c r="I113" s="4" t="s">
        <v>29</v>
      </c>
      <c r="J113" s="4" t="s">
        <v>84</v>
      </c>
      <c r="K113" s="77" t="s">
        <v>66</v>
      </c>
      <c r="L113" s="83">
        <v>45801</v>
      </c>
      <c r="M113" s="77"/>
      <c r="N113" s="6">
        <v>3500</v>
      </c>
    </row>
    <row r="114" spans="1:14" ht="12.5" x14ac:dyDescent="0.25">
      <c r="A114" s="70">
        <v>45795.555356863428</v>
      </c>
      <c r="B114" s="72" t="s">
        <v>1451</v>
      </c>
      <c r="C114" s="72" t="s">
        <v>1452</v>
      </c>
      <c r="D114" s="72" t="s">
        <v>472</v>
      </c>
      <c r="E114" s="72" t="s">
        <v>1453</v>
      </c>
      <c r="F114" s="74">
        <v>29432</v>
      </c>
      <c r="G114" s="72">
        <v>957719329</v>
      </c>
      <c r="H114" s="72" t="s">
        <v>28</v>
      </c>
      <c r="I114" s="72" t="s">
        <v>29</v>
      </c>
      <c r="J114" s="72" t="s">
        <v>1454</v>
      </c>
      <c r="K114" s="72" t="s">
        <v>98</v>
      </c>
      <c r="L114" s="74">
        <v>45801</v>
      </c>
      <c r="M114" s="72"/>
      <c r="N114" s="89"/>
    </row>
    <row r="115" spans="1:14" ht="12.5" x14ac:dyDescent="0.25">
      <c r="A115" s="68">
        <v>45795.556920567135</v>
      </c>
      <c r="B115" s="4" t="s">
        <v>998</v>
      </c>
      <c r="C115" s="4" t="s">
        <v>570</v>
      </c>
      <c r="D115" s="4" t="s">
        <v>579</v>
      </c>
      <c r="E115" s="4" t="s">
        <v>999</v>
      </c>
      <c r="F115" s="5">
        <v>34011</v>
      </c>
      <c r="G115" s="4">
        <v>974897349</v>
      </c>
      <c r="H115" s="4" t="s">
        <v>28</v>
      </c>
      <c r="I115" s="4" t="s">
        <v>29</v>
      </c>
      <c r="J115" s="4" t="s">
        <v>1000</v>
      </c>
      <c r="K115" s="77" t="s">
        <v>31</v>
      </c>
      <c r="L115" s="83">
        <v>45800</v>
      </c>
      <c r="M115" s="77" t="s">
        <v>1001</v>
      </c>
      <c r="N115" s="77"/>
    </row>
    <row r="116" spans="1:14" ht="12.5" x14ac:dyDescent="0.25">
      <c r="A116" s="67">
        <v>45795.557954155098</v>
      </c>
      <c r="B116" s="1" t="s">
        <v>1082</v>
      </c>
      <c r="C116" s="1" t="s">
        <v>1123</v>
      </c>
      <c r="D116" s="1" t="s">
        <v>745</v>
      </c>
      <c r="E116" s="1" t="s">
        <v>1235</v>
      </c>
      <c r="F116" s="2">
        <v>35567</v>
      </c>
      <c r="G116" s="1">
        <v>992960322</v>
      </c>
      <c r="H116" s="1" t="s">
        <v>28</v>
      </c>
      <c r="I116" s="1" t="s">
        <v>29</v>
      </c>
      <c r="J116" s="1" t="s">
        <v>1236</v>
      </c>
      <c r="K116" s="1" t="s">
        <v>31</v>
      </c>
      <c r="L116" s="2">
        <v>45800</v>
      </c>
      <c r="M116" s="1" t="s">
        <v>1001</v>
      </c>
      <c r="N116" s="3"/>
    </row>
    <row r="117" spans="1:14" ht="12.5" x14ac:dyDescent="0.25">
      <c r="A117" s="68">
        <v>45795.558948738428</v>
      </c>
      <c r="B117" s="4" t="s">
        <v>1062</v>
      </c>
      <c r="C117" s="4" t="s">
        <v>1063</v>
      </c>
      <c r="D117" s="4" t="s">
        <v>1064</v>
      </c>
      <c r="E117" s="4" t="s">
        <v>1065</v>
      </c>
      <c r="F117" s="5">
        <v>29420</v>
      </c>
      <c r="G117" s="4">
        <v>982603180</v>
      </c>
      <c r="H117" s="4" t="s">
        <v>19</v>
      </c>
      <c r="I117" s="4" t="s">
        <v>29</v>
      </c>
      <c r="J117" s="4" t="s">
        <v>1066</v>
      </c>
      <c r="K117" s="4" t="s">
        <v>66</v>
      </c>
      <c r="L117" s="5">
        <v>45795</v>
      </c>
      <c r="M117" s="4" t="s">
        <v>23</v>
      </c>
      <c r="N117" s="6"/>
    </row>
    <row r="118" spans="1:14" ht="12.5" x14ac:dyDescent="0.25">
      <c r="A118" s="67">
        <v>45795.5618225</v>
      </c>
      <c r="B118" s="1" t="s">
        <v>1113</v>
      </c>
      <c r="C118" s="1" t="s">
        <v>1114</v>
      </c>
      <c r="D118" s="1" t="s">
        <v>125</v>
      </c>
      <c r="E118" s="1" t="s">
        <v>1115</v>
      </c>
      <c r="F118" s="2">
        <v>33610</v>
      </c>
      <c r="G118" s="4">
        <v>952724562</v>
      </c>
      <c r="H118" s="1" t="s">
        <v>28</v>
      </c>
      <c r="I118" s="1" t="s">
        <v>29</v>
      </c>
      <c r="J118" s="1" t="s">
        <v>1116</v>
      </c>
      <c r="K118" s="1" t="s">
        <v>31</v>
      </c>
      <c r="L118" s="83">
        <v>45795</v>
      </c>
      <c r="M118" s="77" t="s">
        <v>23</v>
      </c>
      <c r="N118" s="3"/>
    </row>
    <row r="119" spans="1:14" ht="12.5" x14ac:dyDescent="0.25">
      <c r="A119" s="68">
        <v>45795.563337349537</v>
      </c>
      <c r="B119" s="4" t="s">
        <v>14</v>
      </c>
      <c r="C119" s="4" t="s">
        <v>15</v>
      </c>
      <c r="D119" s="4" t="s">
        <v>16</v>
      </c>
      <c r="E119" s="4" t="s">
        <v>17</v>
      </c>
      <c r="F119" s="5">
        <v>39108</v>
      </c>
      <c r="G119" s="4" t="s">
        <v>18</v>
      </c>
      <c r="H119" s="4" t="s">
        <v>19</v>
      </c>
      <c r="I119" s="4" t="s">
        <v>20</v>
      </c>
      <c r="J119" s="4" t="s">
        <v>21</v>
      </c>
      <c r="K119" s="4" t="s">
        <v>22</v>
      </c>
      <c r="L119" s="5">
        <v>45795</v>
      </c>
      <c r="M119" s="4" t="s">
        <v>23</v>
      </c>
      <c r="N119" s="6"/>
    </row>
    <row r="120" spans="1:14" ht="12.5" x14ac:dyDescent="0.25">
      <c r="A120" s="67">
        <v>45795.565040925925</v>
      </c>
      <c r="B120" s="1" t="s">
        <v>92</v>
      </c>
      <c r="C120" s="1" t="s">
        <v>93</v>
      </c>
      <c r="D120" s="1" t="s">
        <v>94</v>
      </c>
      <c r="E120" s="1" t="s">
        <v>95</v>
      </c>
      <c r="F120" s="2">
        <v>28541</v>
      </c>
      <c r="G120" s="1" t="s">
        <v>96</v>
      </c>
      <c r="H120" s="1" t="s">
        <v>28</v>
      </c>
      <c r="I120" s="1" t="s">
        <v>29</v>
      </c>
      <c r="J120" s="1" t="s">
        <v>97</v>
      </c>
      <c r="K120" s="1" t="s">
        <v>98</v>
      </c>
      <c r="L120" s="83">
        <v>45795</v>
      </c>
      <c r="M120" s="77" t="s">
        <v>23</v>
      </c>
      <c r="N120" s="3"/>
    </row>
    <row r="121" spans="1:14" ht="12.5" x14ac:dyDescent="0.25">
      <c r="A121" s="68">
        <v>45795.565736087963</v>
      </c>
      <c r="B121" s="4" t="s">
        <v>1237</v>
      </c>
      <c r="C121" s="4" t="s">
        <v>1349</v>
      </c>
      <c r="D121" s="4" t="s">
        <v>93</v>
      </c>
      <c r="E121" s="4" t="s">
        <v>1350</v>
      </c>
      <c r="F121" s="5">
        <v>39360</v>
      </c>
      <c r="G121" s="4" t="s">
        <v>1351</v>
      </c>
      <c r="H121" s="4" t="s">
        <v>19</v>
      </c>
      <c r="I121" s="4" t="s">
        <v>29</v>
      </c>
      <c r="J121" s="4" t="s">
        <v>1352</v>
      </c>
      <c r="K121" s="4" t="s">
        <v>66</v>
      </c>
      <c r="L121" s="5">
        <v>45795</v>
      </c>
      <c r="M121" s="4" t="s">
        <v>23</v>
      </c>
      <c r="N121" s="6"/>
    </row>
    <row r="122" spans="1:14" ht="12.5" x14ac:dyDescent="0.25">
      <c r="A122" s="67">
        <v>45795.566241863431</v>
      </c>
      <c r="B122" s="1" t="s">
        <v>1189</v>
      </c>
      <c r="C122" s="1" t="s">
        <v>1038</v>
      </c>
      <c r="D122" s="1" t="s">
        <v>1190</v>
      </c>
      <c r="E122" s="1" t="s">
        <v>1191</v>
      </c>
      <c r="F122" s="2">
        <v>39674</v>
      </c>
      <c r="G122" s="1">
        <v>945224639</v>
      </c>
      <c r="H122" s="1" t="s">
        <v>19</v>
      </c>
      <c r="I122" s="1" t="s">
        <v>29</v>
      </c>
      <c r="J122" s="1" t="s">
        <v>1192</v>
      </c>
      <c r="K122" s="1" t="s">
        <v>91</v>
      </c>
      <c r="L122" s="85">
        <v>45795</v>
      </c>
      <c r="M122" s="1" t="s">
        <v>23</v>
      </c>
      <c r="N122" s="3"/>
    </row>
    <row r="123" spans="1:14" ht="12.5" x14ac:dyDescent="0.25">
      <c r="A123" s="68">
        <v>45795.566639328703</v>
      </c>
      <c r="B123" s="4" t="s">
        <v>477</v>
      </c>
      <c r="C123" s="4" t="s">
        <v>1364</v>
      </c>
      <c r="D123" s="4" t="s">
        <v>1365</v>
      </c>
      <c r="E123" s="4" t="s">
        <v>1366</v>
      </c>
      <c r="F123" s="5">
        <v>27408</v>
      </c>
      <c r="G123" s="4" t="s">
        <v>1367</v>
      </c>
      <c r="H123" s="4" t="s">
        <v>28</v>
      </c>
      <c r="I123" s="4" t="s">
        <v>29</v>
      </c>
      <c r="J123" s="4" t="s">
        <v>1368</v>
      </c>
      <c r="K123" s="4" t="s">
        <v>31</v>
      </c>
      <c r="L123" s="5">
        <v>45795</v>
      </c>
      <c r="M123" s="4" t="s">
        <v>23</v>
      </c>
      <c r="N123" s="6"/>
    </row>
    <row r="124" spans="1:14" ht="12.5" x14ac:dyDescent="0.25">
      <c r="A124" s="67">
        <v>45795.566644050923</v>
      </c>
      <c r="B124" s="1" t="s">
        <v>233</v>
      </c>
      <c r="C124" s="1" t="s">
        <v>234</v>
      </c>
      <c r="D124" s="1" t="s">
        <v>235</v>
      </c>
      <c r="E124" s="1">
        <v>164733742</v>
      </c>
      <c r="F124" s="2">
        <v>31647</v>
      </c>
      <c r="G124" s="1" t="s">
        <v>236</v>
      </c>
      <c r="H124" s="1" t="s">
        <v>28</v>
      </c>
      <c r="I124" s="1" t="s">
        <v>29</v>
      </c>
      <c r="J124" s="1" t="s">
        <v>237</v>
      </c>
      <c r="K124" s="1" t="s">
        <v>31</v>
      </c>
      <c r="L124" s="81"/>
      <c r="M124" s="81"/>
      <c r="N124" s="3"/>
    </row>
    <row r="125" spans="1:14" ht="12.5" x14ac:dyDescent="0.25">
      <c r="A125" s="68">
        <v>45795.568428113431</v>
      </c>
      <c r="B125" s="4" t="s">
        <v>325</v>
      </c>
      <c r="C125" s="4" t="s">
        <v>320</v>
      </c>
      <c r="D125" s="4" t="s">
        <v>326</v>
      </c>
      <c r="E125" s="4" t="s">
        <v>327</v>
      </c>
      <c r="F125" s="5">
        <v>38397</v>
      </c>
      <c r="G125" s="4">
        <v>964873133</v>
      </c>
      <c r="H125" s="4" t="s">
        <v>19</v>
      </c>
      <c r="I125" s="4" t="s">
        <v>29</v>
      </c>
      <c r="J125" s="4" t="s">
        <v>328</v>
      </c>
      <c r="K125" s="4" t="s">
        <v>31</v>
      </c>
      <c r="L125" s="5">
        <v>45795</v>
      </c>
      <c r="M125" s="4" t="s">
        <v>23</v>
      </c>
      <c r="N125" s="6"/>
    </row>
    <row r="126" spans="1:14" ht="12.5" x14ac:dyDescent="0.25">
      <c r="A126" s="67">
        <v>45795.569421944441</v>
      </c>
      <c r="B126" s="1" t="s">
        <v>835</v>
      </c>
      <c r="C126" s="1" t="s">
        <v>326</v>
      </c>
      <c r="D126" s="1" t="s">
        <v>836</v>
      </c>
      <c r="E126" s="1" t="s">
        <v>837</v>
      </c>
      <c r="F126" s="2">
        <v>27122</v>
      </c>
      <c r="G126" s="1">
        <v>932385215</v>
      </c>
      <c r="H126" s="1" t="s">
        <v>28</v>
      </c>
      <c r="I126" s="1" t="s">
        <v>29</v>
      </c>
      <c r="J126" s="1" t="s">
        <v>838</v>
      </c>
      <c r="K126" s="77" t="s">
        <v>91</v>
      </c>
      <c r="L126" s="2">
        <v>45795</v>
      </c>
      <c r="M126" s="1" t="s">
        <v>23</v>
      </c>
      <c r="N126" s="3"/>
    </row>
    <row r="127" spans="1:14" ht="12.5" x14ac:dyDescent="0.25">
      <c r="A127" s="68">
        <v>45795.57910599537</v>
      </c>
      <c r="B127" s="4" t="s">
        <v>764</v>
      </c>
      <c r="C127" s="4" t="s">
        <v>765</v>
      </c>
      <c r="D127" s="4" t="s">
        <v>766</v>
      </c>
      <c r="E127" s="4" t="s">
        <v>767</v>
      </c>
      <c r="F127" s="5">
        <v>28800</v>
      </c>
      <c r="G127" s="4">
        <v>56990773417</v>
      </c>
      <c r="H127" s="4" t="s">
        <v>78</v>
      </c>
      <c r="I127" s="4" t="s">
        <v>768</v>
      </c>
      <c r="J127" s="4" t="s">
        <v>769</v>
      </c>
      <c r="K127" s="77" t="s">
        <v>22</v>
      </c>
      <c r="L127" s="5">
        <v>45796</v>
      </c>
      <c r="M127" s="4" t="s">
        <v>23</v>
      </c>
      <c r="N127" s="6"/>
    </row>
    <row r="128" spans="1:14" ht="12.5" x14ac:dyDescent="0.25">
      <c r="A128" s="67">
        <v>45795.606430277781</v>
      </c>
      <c r="B128" s="1" t="s">
        <v>1344</v>
      </c>
      <c r="C128" s="1" t="s">
        <v>16</v>
      </c>
      <c r="D128" s="1" t="s">
        <v>148</v>
      </c>
      <c r="E128" s="1">
        <v>172812104</v>
      </c>
      <c r="F128" s="2">
        <v>32895</v>
      </c>
      <c r="G128" s="1" t="s">
        <v>1345</v>
      </c>
      <c r="H128" s="1" t="s">
        <v>19</v>
      </c>
      <c r="I128" s="1" t="s">
        <v>29</v>
      </c>
      <c r="J128" s="1" t="s">
        <v>1346</v>
      </c>
      <c r="K128" s="1" t="s">
        <v>66</v>
      </c>
      <c r="L128" s="2">
        <v>45795</v>
      </c>
      <c r="M128" s="1" t="s">
        <v>23</v>
      </c>
      <c r="N128" s="3"/>
    </row>
    <row r="129" spans="1:14" ht="12.5" x14ac:dyDescent="0.25">
      <c r="A129" s="68">
        <v>45795.682940057872</v>
      </c>
      <c r="B129" s="4" t="s">
        <v>526</v>
      </c>
      <c r="C129" s="4" t="s">
        <v>169</v>
      </c>
      <c r="D129" s="4" t="s">
        <v>527</v>
      </c>
      <c r="E129" s="4">
        <v>169793743</v>
      </c>
      <c r="F129" s="5">
        <v>32742</v>
      </c>
      <c r="G129" s="4" t="s">
        <v>528</v>
      </c>
      <c r="H129" s="4" t="s">
        <v>78</v>
      </c>
      <c r="I129" s="4" t="s">
        <v>38</v>
      </c>
      <c r="J129" s="4" t="s">
        <v>529</v>
      </c>
      <c r="K129" s="77" t="s">
        <v>66</v>
      </c>
      <c r="L129" s="83">
        <v>45798</v>
      </c>
      <c r="M129" s="77" t="s">
        <v>40</v>
      </c>
      <c r="N129" s="77"/>
    </row>
    <row r="130" spans="1:14" ht="12.5" x14ac:dyDescent="0.25">
      <c r="A130" s="67">
        <v>45795.775416747681</v>
      </c>
      <c r="B130" s="1" t="s">
        <v>265</v>
      </c>
      <c r="C130" s="1" t="s">
        <v>1046</v>
      </c>
      <c r="D130" s="1" t="s">
        <v>204</v>
      </c>
      <c r="E130" s="1" t="s">
        <v>1050</v>
      </c>
      <c r="F130" s="2">
        <v>38756</v>
      </c>
      <c r="G130" s="1" t="s">
        <v>1051</v>
      </c>
      <c r="H130" s="1" t="s">
        <v>19</v>
      </c>
      <c r="I130" s="1" t="s">
        <v>29</v>
      </c>
      <c r="J130" s="1" t="s">
        <v>1052</v>
      </c>
      <c r="K130" s="1" t="s">
        <v>66</v>
      </c>
      <c r="L130" s="2">
        <v>45795</v>
      </c>
      <c r="M130" s="1" t="s">
        <v>23</v>
      </c>
      <c r="N130" s="3"/>
    </row>
    <row r="131" spans="1:14" ht="12.5" x14ac:dyDescent="0.25">
      <c r="A131" s="68">
        <v>45795.829595567135</v>
      </c>
      <c r="B131" s="4" t="s">
        <v>598</v>
      </c>
      <c r="C131" s="4" t="s">
        <v>594</v>
      </c>
      <c r="D131" s="4" t="s">
        <v>599</v>
      </c>
      <c r="E131" s="4" t="s">
        <v>600</v>
      </c>
      <c r="F131" s="5">
        <v>36882</v>
      </c>
      <c r="G131" s="4">
        <v>958985810</v>
      </c>
      <c r="H131" s="75" t="s">
        <v>1828</v>
      </c>
      <c r="I131" s="4" t="s">
        <v>29</v>
      </c>
      <c r="J131" s="4" t="s">
        <v>601</v>
      </c>
      <c r="K131" s="4" t="s">
        <v>66</v>
      </c>
      <c r="L131" s="86">
        <v>45801</v>
      </c>
      <c r="M131" s="79"/>
      <c r="N131" s="6">
        <v>3000</v>
      </c>
    </row>
    <row r="132" spans="1:14" ht="12.5" x14ac:dyDescent="0.25">
      <c r="A132" s="67">
        <v>45795.835377870375</v>
      </c>
      <c r="B132" s="1" t="s">
        <v>1307</v>
      </c>
      <c r="C132" s="1" t="s">
        <v>1308</v>
      </c>
      <c r="D132" s="1" t="s">
        <v>624</v>
      </c>
      <c r="E132" s="1" t="s">
        <v>1309</v>
      </c>
      <c r="F132" s="2">
        <v>37732</v>
      </c>
      <c r="G132" s="1" t="s">
        <v>1310</v>
      </c>
      <c r="H132" s="1" t="s">
        <v>78</v>
      </c>
      <c r="I132" s="1" t="s">
        <v>38</v>
      </c>
      <c r="J132" s="1" t="s">
        <v>1311</v>
      </c>
      <c r="K132" s="1" t="s">
        <v>72</v>
      </c>
      <c r="L132" s="2">
        <v>45795</v>
      </c>
      <c r="M132" s="1" t="s">
        <v>23</v>
      </c>
      <c r="N132" s="3"/>
    </row>
    <row r="133" spans="1:14" ht="12.5" x14ac:dyDescent="0.25">
      <c r="A133" s="70">
        <v>45795.869935775467</v>
      </c>
      <c r="B133" s="72" t="s">
        <v>922</v>
      </c>
      <c r="C133" s="72" t="s">
        <v>923</v>
      </c>
      <c r="D133" s="72" t="s">
        <v>230</v>
      </c>
      <c r="E133" s="72">
        <v>81509581</v>
      </c>
      <c r="F133" s="74">
        <v>20848</v>
      </c>
      <c r="G133" s="72" t="s">
        <v>924</v>
      </c>
      <c r="H133" s="72" t="s">
        <v>28</v>
      </c>
      <c r="I133" s="72" t="s">
        <v>29</v>
      </c>
      <c r="J133" s="72" t="s">
        <v>925</v>
      </c>
      <c r="K133" s="72" t="s">
        <v>98</v>
      </c>
      <c r="L133" s="78"/>
      <c r="M133" s="78"/>
      <c r="N133" s="89"/>
    </row>
    <row r="134" spans="1:14" ht="12.5" x14ac:dyDescent="0.25">
      <c r="A134" s="67">
        <v>45795.886018703706</v>
      </c>
      <c r="B134" s="1" t="s">
        <v>721</v>
      </c>
      <c r="C134" s="1" t="s">
        <v>709</v>
      </c>
      <c r="D134" s="1" t="s">
        <v>678</v>
      </c>
      <c r="E134" s="1" t="s">
        <v>722</v>
      </c>
      <c r="F134" s="2">
        <v>40967</v>
      </c>
      <c r="G134" s="1">
        <v>940898530</v>
      </c>
      <c r="H134" s="1" t="s">
        <v>19</v>
      </c>
      <c r="I134" s="1" t="s">
        <v>29</v>
      </c>
      <c r="J134" s="1" t="s">
        <v>723</v>
      </c>
      <c r="K134" s="1" t="s">
        <v>66</v>
      </c>
      <c r="L134" s="2">
        <v>45795</v>
      </c>
      <c r="M134" s="1" t="s">
        <v>23</v>
      </c>
      <c r="N134" s="3"/>
    </row>
    <row r="135" spans="1:14" ht="12.5" x14ac:dyDescent="0.25">
      <c r="A135" s="68">
        <v>45795.886582858795</v>
      </c>
      <c r="B135" s="4" t="s">
        <v>677</v>
      </c>
      <c r="C135" s="4" t="s">
        <v>678</v>
      </c>
      <c r="D135" s="4" t="s">
        <v>62</v>
      </c>
      <c r="E135" s="4" t="s">
        <v>679</v>
      </c>
      <c r="F135" s="5">
        <v>29129</v>
      </c>
      <c r="G135" s="4">
        <v>993687979</v>
      </c>
      <c r="H135" s="4" t="s">
        <v>28</v>
      </c>
      <c r="I135" s="4" t="s">
        <v>29</v>
      </c>
      <c r="J135" s="4" t="s">
        <v>680</v>
      </c>
      <c r="K135" s="4" t="s">
        <v>31</v>
      </c>
      <c r="L135" s="83">
        <v>45795</v>
      </c>
      <c r="M135" s="77" t="s">
        <v>23</v>
      </c>
      <c r="N135" s="6"/>
    </row>
    <row r="136" spans="1:14" ht="12.5" x14ac:dyDescent="0.25">
      <c r="A136" s="70">
        <v>45795.891902303236</v>
      </c>
      <c r="B136" s="72" t="s">
        <v>224</v>
      </c>
      <c r="C136" s="72" t="s">
        <v>1002</v>
      </c>
      <c r="D136" s="72" t="s">
        <v>877</v>
      </c>
      <c r="E136" s="72" t="s">
        <v>1003</v>
      </c>
      <c r="F136" s="74">
        <v>26414</v>
      </c>
      <c r="G136" s="72">
        <v>939050314</v>
      </c>
      <c r="H136" s="72" t="s">
        <v>78</v>
      </c>
      <c r="I136" s="72" t="s">
        <v>38</v>
      </c>
      <c r="J136" s="72" t="s">
        <v>1004</v>
      </c>
      <c r="K136" s="72" t="s">
        <v>72</v>
      </c>
      <c r="L136" s="74">
        <v>45798</v>
      </c>
      <c r="M136" s="72" t="s">
        <v>40</v>
      </c>
      <c r="N136" s="89"/>
    </row>
    <row r="137" spans="1:14" ht="12.5" x14ac:dyDescent="0.25">
      <c r="A137" s="68">
        <v>45795.893101851849</v>
      </c>
      <c r="B137" s="4" t="s">
        <v>1067</v>
      </c>
      <c r="C137" s="4" t="s">
        <v>1068</v>
      </c>
      <c r="D137" s="4" t="s">
        <v>1069</v>
      </c>
      <c r="E137" s="4" t="s">
        <v>1070</v>
      </c>
      <c r="F137" s="5">
        <v>30628</v>
      </c>
      <c r="G137" s="4" t="s">
        <v>1071</v>
      </c>
      <c r="H137" s="1" t="s">
        <v>28</v>
      </c>
      <c r="I137" s="4" t="s">
        <v>29</v>
      </c>
      <c r="J137" s="4" t="s">
        <v>1072</v>
      </c>
      <c r="K137" s="4" t="s">
        <v>98</v>
      </c>
      <c r="L137" s="5">
        <v>45796</v>
      </c>
      <c r="M137" s="4" t="s">
        <v>23</v>
      </c>
      <c r="N137" s="6"/>
    </row>
    <row r="138" spans="1:14" ht="12.5" x14ac:dyDescent="0.25">
      <c r="A138" s="67">
        <v>45795.893120810186</v>
      </c>
      <c r="B138" s="1" t="s">
        <v>681</v>
      </c>
      <c r="C138" s="1" t="s">
        <v>682</v>
      </c>
      <c r="D138" s="1" t="s">
        <v>683</v>
      </c>
      <c r="E138" s="1">
        <v>141862456</v>
      </c>
      <c r="F138" s="2">
        <v>29815</v>
      </c>
      <c r="G138" s="1">
        <v>945657997</v>
      </c>
      <c r="H138" s="1" t="s">
        <v>78</v>
      </c>
      <c r="I138" s="1" t="s">
        <v>38</v>
      </c>
      <c r="J138" s="1" t="s">
        <v>684</v>
      </c>
      <c r="K138" s="1" t="s">
        <v>458</v>
      </c>
      <c r="L138" s="2">
        <v>45795</v>
      </c>
      <c r="M138" s="1" t="s">
        <v>23</v>
      </c>
      <c r="N138" s="3"/>
    </row>
    <row r="139" spans="1:14" ht="12.5" x14ac:dyDescent="0.25">
      <c r="A139" s="68">
        <v>45795.895376886576</v>
      </c>
      <c r="B139" s="4" t="s">
        <v>167</v>
      </c>
      <c r="C139" s="4" t="s">
        <v>168</v>
      </c>
      <c r="D139" s="4" t="s">
        <v>169</v>
      </c>
      <c r="E139" s="4">
        <v>173827970</v>
      </c>
      <c r="F139" s="5">
        <v>32916</v>
      </c>
      <c r="G139" s="4">
        <v>983481766</v>
      </c>
      <c r="H139" s="4" t="s">
        <v>28</v>
      </c>
      <c r="I139" s="4" t="s">
        <v>29</v>
      </c>
      <c r="J139" s="4" t="s">
        <v>170</v>
      </c>
      <c r="K139" s="4" t="s">
        <v>31</v>
      </c>
      <c r="L139" s="5">
        <v>45799</v>
      </c>
      <c r="M139" s="4" t="s">
        <v>40</v>
      </c>
      <c r="N139" s="6"/>
    </row>
    <row r="140" spans="1:14" ht="12.5" x14ac:dyDescent="0.25">
      <c r="A140" s="67">
        <v>45795.897239583333</v>
      </c>
      <c r="B140" s="1" t="s">
        <v>229</v>
      </c>
      <c r="C140" s="1" t="s">
        <v>230</v>
      </c>
      <c r="D140" s="1" t="s">
        <v>231</v>
      </c>
      <c r="E140" s="1">
        <v>141369490</v>
      </c>
      <c r="F140" s="2">
        <v>29582</v>
      </c>
      <c r="G140" s="1">
        <v>998272902</v>
      </c>
      <c r="H140" s="1" t="s">
        <v>28</v>
      </c>
      <c r="I140" s="1" t="s">
        <v>29</v>
      </c>
      <c r="J140" s="1" t="s">
        <v>232</v>
      </c>
      <c r="K140" s="1" t="s">
        <v>31</v>
      </c>
      <c r="L140" s="2">
        <v>45800</v>
      </c>
      <c r="M140" s="1" t="s">
        <v>106</v>
      </c>
      <c r="N140" s="3"/>
    </row>
    <row r="141" spans="1:14" ht="12.5" x14ac:dyDescent="0.25">
      <c r="A141" s="68">
        <v>45795.899097256945</v>
      </c>
      <c r="B141" s="4" t="s">
        <v>565</v>
      </c>
      <c r="C141" s="4" t="s">
        <v>1157</v>
      </c>
      <c r="D141" s="4" t="s">
        <v>1068</v>
      </c>
      <c r="E141" s="4">
        <v>212528501</v>
      </c>
      <c r="F141" s="5">
        <v>37685</v>
      </c>
      <c r="G141" s="4" t="s">
        <v>1158</v>
      </c>
      <c r="H141" s="4" t="s">
        <v>19</v>
      </c>
      <c r="I141" s="4" t="s">
        <v>29</v>
      </c>
      <c r="J141" s="4" t="s">
        <v>1159</v>
      </c>
      <c r="K141" s="4" t="s">
        <v>66</v>
      </c>
      <c r="L141" s="5">
        <v>45796</v>
      </c>
      <c r="M141" s="4" t="s">
        <v>23</v>
      </c>
      <c r="N141" s="6"/>
    </row>
    <row r="142" spans="1:14" ht="12.5" x14ac:dyDescent="0.25">
      <c r="A142" s="67">
        <v>45795.91037109954</v>
      </c>
      <c r="B142" s="1" t="s">
        <v>560</v>
      </c>
      <c r="C142" s="1" t="s">
        <v>561</v>
      </c>
      <c r="D142" s="1" t="s">
        <v>562</v>
      </c>
      <c r="E142" s="1" t="s">
        <v>563</v>
      </c>
      <c r="F142" s="2">
        <v>37965</v>
      </c>
      <c r="G142" s="1">
        <v>79281378</v>
      </c>
      <c r="H142" s="1" t="s">
        <v>19</v>
      </c>
      <c r="I142" s="1" t="s">
        <v>29</v>
      </c>
      <c r="J142" s="1" t="s">
        <v>564</v>
      </c>
      <c r="K142" s="1" t="s">
        <v>66</v>
      </c>
      <c r="L142" s="2">
        <v>45795</v>
      </c>
      <c r="M142" s="1" t="s">
        <v>23</v>
      </c>
      <c r="N142" s="3"/>
    </row>
    <row r="143" spans="1:14" ht="12.5" x14ac:dyDescent="0.25">
      <c r="A143" s="68">
        <v>45795.989881168978</v>
      </c>
      <c r="B143" s="4" t="s">
        <v>459</v>
      </c>
      <c r="C143" s="4" t="s">
        <v>460</v>
      </c>
      <c r="D143" s="4" t="s">
        <v>451</v>
      </c>
      <c r="E143" s="4" t="s">
        <v>461</v>
      </c>
      <c r="F143" s="5">
        <v>37621</v>
      </c>
      <c r="G143" s="4" t="s">
        <v>462</v>
      </c>
      <c r="H143" s="4" t="s">
        <v>78</v>
      </c>
      <c r="I143" s="4" t="s">
        <v>38</v>
      </c>
      <c r="J143" s="4" t="s">
        <v>463</v>
      </c>
      <c r="K143" s="4" t="s">
        <v>72</v>
      </c>
      <c r="L143" s="5">
        <v>45795</v>
      </c>
      <c r="M143" s="4" t="s">
        <v>23</v>
      </c>
      <c r="N143" s="6"/>
    </row>
    <row r="144" spans="1:14" ht="12.5" x14ac:dyDescent="0.25">
      <c r="A144" s="67">
        <v>45795.991101631946</v>
      </c>
      <c r="B144" s="1" t="s">
        <v>565</v>
      </c>
      <c r="C144" s="1" t="s">
        <v>561</v>
      </c>
      <c r="D144" s="1" t="s">
        <v>562</v>
      </c>
      <c r="E144" s="1" t="s">
        <v>566</v>
      </c>
      <c r="F144" s="2">
        <v>39818</v>
      </c>
      <c r="G144" s="1" t="s">
        <v>567</v>
      </c>
      <c r="H144" s="1" t="s">
        <v>19</v>
      </c>
      <c r="I144" s="1" t="s">
        <v>29</v>
      </c>
      <c r="J144" s="1" t="s">
        <v>568</v>
      </c>
      <c r="K144" s="77" t="s">
        <v>98</v>
      </c>
      <c r="L144" s="83">
        <v>45795</v>
      </c>
      <c r="M144" s="77" t="s">
        <v>23</v>
      </c>
      <c r="N144" s="3"/>
    </row>
    <row r="145" spans="1:14" ht="12.5" x14ac:dyDescent="0.25">
      <c r="A145" s="68">
        <v>45796.512572118052</v>
      </c>
      <c r="B145" s="4" t="s">
        <v>1291</v>
      </c>
      <c r="C145" s="4" t="s">
        <v>1292</v>
      </c>
      <c r="D145" s="4" t="s">
        <v>1287</v>
      </c>
      <c r="E145" s="4" t="s">
        <v>1293</v>
      </c>
      <c r="F145" s="5">
        <v>26672</v>
      </c>
      <c r="G145" s="4" t="s">
        <v>1294</v>
      </c>
      <c r="H145" s="4" t="s">
        <v>28</v>
      </c>
      <c r="I145" s="4" t="s">
        <v>29</v>
      </c>
      <c r="J145" s="4" t="s">
        <v>1295</v>
      </c>
      <c r="K145" s="4" t="s">
        <v>31</v>
      </c>
      <c r="L145" s="79"/>
      <c r="M145" s="79"/>
      <c r="N145" s="6"/>
    </row>
    <row r="146" spans="1:14" ht="12.5" x14ac:dyDescent="0.25">
      <c r="A146" s="67">
        <v>45796.516611296298</v>
      </c>
      <c r="B146" s="1" t="s">
        <v>171</v>
      </c>
      <c r="C146" s="1" t="s">
        <v>765</v>
      </c>
      <c r="D146" s="1" t="s">
        <v>16</v>
      </c>
      <c r="E146" s="1" t="s">
        <v>770</v>
      </c>
      <c r="F146" s="2">
        <v>30505</v>
      </c>
      <c r="G146" s="1" t="s">
        <v>771</v>
      </c>
      <c r="H146" s="1" t="s">
        <v>28</v>
      </c>
      <c r="I146" s="1" t="s">
        <v>29</v>
      </c>
      <c r="J146" s="1" t="s">
        <v>772</v>
      </c>
      <c r="K146" s="1" t="s">
        <v>31</v>
      </c>
      <c r="L146" s="2">
        <v>45800</v>
      </c>
      <c r="M146" s="77" t="s">
        <v>23</v>
      </c>
      <c r="N146" s="3"/>
    </row>
    <row r="147" spans="1:14" ht="12.5" x14ac:dyDescent="0.25">
      <c r="A147" s="68">
        <v>45796.528454386571</v>
      </c>
      <c r="B147" s="4" t="s">
        <v>449</v>
      </c>
      <c r="C147" s="4" t="s">
        <v>450</v>
      </c>
      <c r="D147" s="4" t="s">
        <v>451</v>
      </c>
      <c r="E147" s="4">
        <v>160462388</v>
      </c>
      <c r="F147" s="5">
        <v>31335</v>
      </c>
      <c r="G147" s="4">
        <v>86138819</v>
      </c>
      <c r="H147" s="75" t="s">
        <v>1827</v>
      </c>
      <c r="I147" s="4" t="s">
        <v>29</v>
      </c>
      <c r="J147" s="4" t="s">
        <v>452</v>
      </c>
      <c r="K147" s="4" t="s">
        <v>91</v>
      </c>
      <c r="L147" s="86">
        <v>45801</v>
      </c>
      <c r="M147" s="79"/>
      <c r="N147" s="6"/>
    </row>
    <row r="148" spans="1:14" ht="12.5" x14ac:dyDescent="0.25">
      <c r="A148" s="70">
        <v>45796.531452777781</v>
      </c>
      <c r="B148" s="72" t="s">
        <v>453</v>
      </c>
      <c r="C148" s="72" t="s">
        <v>454</v>
      </c>
      <c r="D148" s="72" t="s">
        <v>455</v>
      </c>
      <c r="E148" s="72" t="s">
        <v>456</v>
      </c>
      <c r="F148" s="74">
        <v>39071</v>
      </c>
      <c r="G148" s="72">
        <v>42934613</v>
      </c>
      <c r="H148" s="72" t="s">
        <v>78</v>
      </c>
      <c r="I148" s="72" t="s">
        <v>38</v>
      </c>
      <c r="J148" s="72" t="s">
        <v>457</v>
      </c>
      <c r="K148" s="72" t="s">
        <v>458</v>
      </c>
      <c r="L148" s="74">
        <v>45795</v>
      </c>
      <c r="M148" s="72" t="s">
        <v>23</v>
      </c>
      <c r="N148" s="89"/>
    </row>
    <row r="149" spans="1:14" ht="12.5" x14ac:dyDescent="0.25">
      <c r="A149" s="68">
        <v>45796.5419859838</v>
      </c>
      <c r="B149" s="4" t="s">
        <v>486</v>
      </c>
      <c r="C149" s="4" t="s">
        <v>231</v>
      </c>
      <c r="D149" s="4" t="s">
        <v>487</v>
      </c>
      <c r="E149" s="4">
        <v>60542902</v>
      </c>
      <c r="F149" s="5">
        <v>19117</v>
      </c>
      <c r="G149" s="4" t="s">
        <v>488</v>
      </c>
      <c r="H149" s="4" t="s">
        <v>28</v>
      </c>
      <c r="I149" s="4" t="s">
        <v>29</v>
      </c>
      <c r="J149" s="4" t="s">
        <v>489</v>
      </c>
      <c r="K149" s="4" t="s">
        <v>490</v>
      </c>
      <c r="L149" s="7">
        <v>45796</v>
      </c>
      <c r="M149" s="4" t="s">
        <v>23</v>
      </c>
      <c r="N149" s="6"/>
    </row>
    <row r="150" spans="1:14" ht="12.5" x14ac:dyDescent="0.25">
      <c r="A150" s="67">
        <v>45796.543005972228</v>
      </c>
      <c r="B150" s="1" t="s">
        <v>1269</v>
      </c>
      <c r="C150" s="1" t="s">
        <v>1270</v>
      </c>
      <c r="D150" s="1" t="s">
        <v>1271</v>
      </c>
      <c r="E150" s="1" t="s">
        <v>1272</v>
      </c>
      <c r="F150" s="2">
        <v>36347</v>
      </c>
      <c r="G150" s="1" t="s">
        <v>1273</v>
      </c>
      <c r="H150" s="1" t="s">
        <v>28</v>
      </c>
      <c r="I150" s="1" t="s">
        <v>29</v>
      </c>
      <c r="J150" s="1" t="s">
        <v>1274</v>
      </c>
      <c r="K150" s="1" t="s">
        <v>31</v>
      </c>
      <c r="L150" s="83">
        <v>45795</v>
      </c>
      <c r="M150" s="1" t="s">
        <v>23</v>
      </c>
      <c r="N150" s="3"/>
    </row>
    <row r="151" spans="1:14" ht="12.5" x14ac:dyDescent="0.25">
      <c r="A151" s="68">
        <v>45796.568202210648</v>
      </c>
      <c r="B151" s="4" t="s">
        <v>1390</v>
      </c>
      <c r="C151" s="4" t="s">
        <v>1391</v>
      </c>
      <c r="D151" s="4" t="s">
        <v>1392</v>
      </c>
      <c r="E151" s="4" t="s">
        <v>1393</v>
      </c>
      <c r="F151" s="5">
        <v>21479</v>
      </c>
      <c r="G151" s="4">
        <v>978494251</v>
      </c>
      <c r="H151" s="4" t="s">
        <v>28</v>
      </c>
      <c r="I151" s="4" t="s">
        <v>29</v>
      </c>
      <c r="J151" s="4" t="s">
        <v>1394</v>
      </c>
      <c r="K151" s="4" t="s">
        <v>53</v>
      </c>
      <c r="L151" s="79"/>
      <c r="M151" s="79"/>
      <c r="N151" s="6"/>
    </row>
    <row r="152" spans="1:14" ht="12.5" x14ac:dyDescent="0.25">
      <c r="A152" s="67">
        <v>45796.576021840279</v>
      </c>
      <c r="B152" s="1" t="s">
        <v>520</v>
      </c>
      <c r="C152" s="1" t="s">
        <v>554</v>
      </c>
      <c r="D152" s="1" t="s">
        <v>125</v>
      </c>
      <c r="E152" s="1">
        <v>107394028</v>
      </c>
      <c r="F152" s="2">
        <v>24349</v>
      </c>
      <c r="G152" s="1">
        <v>977651565</v>
      </c>
      <c r="H152" s="1" t="s">
        <v>28</v>
      </c>
      <c r="I152" s="1" t="s">
        <v>29</v>
      </c>
      <c r="J152" s="1" t="s">
        <v>555</v>
      </c>
      <c r="K152" s="1" t="s">
        <v>53</v>
      </c>
      <c r="L152" s="2">
        <v>45799</v>
      </c>
      <c r="M152" s="1" t="s">
        <v>40</v>
      </c>
      <c r="N152" s="3"/>
    </row>
    <row r="153" spans="1:14" ht="12.5" x14ac:dyDescent="0.25">
      <c r="A153" s="68">
        <v>45796.576606064817</v>
      </c>
      <c r="B153" s="4" t="s">
        <v>1403</v>
      </c>
      <c r="C153" s="4" t="s">
        <v>1404</v>
      </c>
      <c r="D153" s="4" t="s">
        <v>1405</v>
      </c>
      <c r="E153" s="4">
        <v>223567576</v>
      </c>
      <c r="F153" s="5">
        <v>39163</v>
      </c>
      <c r="G153" s="4" t="s">
        <v>1406</v>
      </c>
      <c r="H153" s="4" t="s">
        <v>19</v>
      </c>
      <c r="I153" s="4" t="s">
        <v>29</v>
      </c>
      <c r="J153" s="4" t="s">
        <v>1407</v>
      </c>
      <c r="K153" s="4" t="s">
        <v>66</v>
      </c>
      <c r="L153" s="5">
        <v>45795</v>
      </c>
      <c r="M153" s="4" t="s">
        <v>23</v>
      </c>
      <c r="N153" s="6"/>
    </row>
    <row r="154" spans="1:14" ht="12.5" x14ac:dyDescent="0.25">
      <c r="A154" s="67">
        <v>45796.590403009264</v>
      </c>
      <c r="B154" s="1" t="s">
        <v>422</v>
      </c>
      <c r="C154" s="1" t="s">
        <v>423</v>
      </c>
      <c r="D154" s="1" t="s">
        <v>424</v>
      </c>
      <c r="E154" s="1" t="s">
        <v>425</v>
      </c>
      <c r="F154" s="2">
        <v>19474</v>
      </c>
      <c r="G154" s="1">
        <v>61480244</v>
      </c>
      <c r="H154" s="1" t="s">
        <v>28</v>
      </c>
      <c r="I154" s="1" t="s">
        <v>29</v>
      </c>
      <c r="J154" s="1" t="s">
        <v>426</v>
      </c>
      <c r="K154" s="1" t="s">
        <v>53</v>
      </c>
      <c r="L154" s="2">
        <v>45800</v>
      </c>
      <c r="M154" s="1" t="s">
        <v>106</v>
      </c>
      <c r="N154" s="3"/>
    </row>
    <row r="155" spans="1:14" ht="12.5" x14ac:dyDescent="0.25">
      <c r="A155" s="70">
        <v>45796.590946342592</v>
      </c>
      <c r="B155" s="72" t="s">
        <v>1022</v>
      </c>
      <c r="C155" s="72" t="s">
        <v>1023</v>
      </c>
      <c r="D155" s="72" t="s">
        <v>1024</v>
      </c>
      <c r="E155" s="72">
        <v>65253569</v>
      </c>
      <c r="F155" s="74" t="s">
        <v>1025</v>
      </c>
      <c r="G155" s="72">
        <v>997117114</v>
      </c>
      <c r="H155" s="72" t="s">
        <v>28</v>
      </c>
      <c r="I155" s="72" t="s">
        <v>29</v>
      </c>
      <c r="J155" s="72" t="s">
        <v>1026</v>
      </c>
      <c r="K155" s="72" t="s">
        <v>53</v>
      </c>
      <c r="L155" s="74">
        <v>45800</v>
      </c>
      <c r="M155" s="72" t="s">
        <v>106</v>
      </c>
      <c r="N155" s="89"/>
    </row>
    <row r="156" spans="1:14" ht="12.5" x14ac:dyDescent="0.25">
      <c r="A156" s="67">
        <v>45796.6185247338</v>
      </c>
      <c r="B156" s="1" t="s">
        <v>135</v>
      </c>
      <c r="C156" s="1" t="s">
        <v>1462</v>
      </c>
      <c r="D156" s="1" t="s">
        <v>1464</v>
      </c>
      <c r="E156" s="1" t="s">
        <v>1465</v>
      </c>
      <c r="F156" s="2">
        <v>37342</v>
      </c>
      <c r="G156" s="1">
        <v>86638956</v>
      </c>
      <c r="H156" s="1" t="s">
        <v>19</v>
      </c>
      <c r="I156" s="1" t="s">
        <v>29</v>
      </c>
      <c r="J156" s="1" t="s">
        <v>1466</v>
      </c>
      <c r="K156" s="1" t="s">
        <v>66</v>
      </c>
      <c r="L156" s="2">
        <v>45796</v>
      </c>
      <c r="M156" s="1" t="s">
        <v>23</v>
      </c>
      <c r="N156" s="3"/>
    </row>
    <row r="157" spans="1:14" ht="12.5" x14ac:dyDescent="0.25">
      <c r="A157" s="68">
        <v>45796.661379178244</v>
      </c>
      <c r="B157" s="4" t="s">
        <v>805</v>
      </c>
      <c r="C157" s="4" t="s">
        <v>668</v>
      </c>
      <c r="D157" s="4" t="s">
        <v>801</v>
      </c>
      <c r="E157" s="4">
        <v>137102285</v>
      </c>
      <c r="F157" s="5">
        <v>28931</v>
      </c>
      <c r="G157" s="4" t="s">
        <v>806</v>
      </c>
      <c r="H157" s="4" t="s">
        <v>78</v>
      </c>
      <c r="I157" s="4" t="s">
        <v>349</v>
      </c>
      <c r="J157" s="4" t="s">
        <v>807</v>
      </c>
      <c r="K157" s="4" t="s">
        <v>349</v>
      </c>
      <c r="L157" s="5">
        <v>45796</v>
      </c>
      <c r="M157" s="4" t="s">
        <v>23</v>
      </c>
      <c r="N157" s="6"/>
    </row>
    <row r="158" spans="1:14" ht="12.5" x14ac:dyDescent="0.25">
      <c r="A158" s="67">
        <v>45796.663288055555</v>
      </c>
      <c r="B158" s="1" t="s">
        <v>344</v>
      </c>
      <c r="C158" s="1" t="s">
        <v>345</v>
      </c>
      <c r="D158" s="1" t="s">
        <v>346</v>
      </c>
      <c r="E158" s="1" t="s">
        <v>347</v>
      </c>
      <c r="F158" s="2">
        <v>28362</v>
      </c>
      <c r="G158" s="1" t="s">
        <v>348</v>
      </c>
      <c r="H158" s="1" t="s">
        <v>78</v>
      </c>
      <c r="I158" s="1" t="s">
        <v>349</v>
      </c>
      <c r="J158" s="1" t="s">
        <v>350</v>
      </c>
      <c r="K158" s="1" t="s">
        <v>349</v>
      </c>
      <c r="L158" s="12">
        <v>45796</v>
      </c>
      <c r="M158" s="1" t="s">
        <v>23</v>
      </c>
      <c r="N158" s="3"/>
    </row>
    <row r="159" spans="1:14" ht="12.5" x14ac:dyDescent="0.25">
      <c r="A159" s="68">
        <v>45796.715584027777</v>
      </c>
      <c r="B159" s="4" t="s">
        <v>994</v>
      </c>
      <c r="C159" s="4" t="s">
        <v>137</v>
      </c>
      <c r="D159" s="4" t="s">
        <v>995</v>
      </c>
      <c r="E159" s="4" t="s">
        <v>996</v>
      </c>
      <c r="F159" s="5">
        <v>22575</v>
      </c>
      <c r="G159" s="4">
        <v>81847757</v>
      </c>
      <c r="H159" s="4" t="s">
        <v>28</v>
      </c>
      <c r="I159" s="4" t="s">
        <v>29</v>
      </c>
      <c r="J159" s="4" t="s">
        <v>997</v>
      </c>
      <c r="K159" s="4" t="s">
        <v>53</v>
      </c>
      <c r="L159" s="7">
        <v>45796</v>
      </c>
      <c r="M159" s="4" t="s">
        <v>23</v>
      </c>
      <c r="N159" s="6"/>
    </row>
    <row r="160" spans="1:14" ht="12.5" x14ac:dyDescent="0.25">
      <c r="A160" s="67">
        <v>45796.812729560188</v>
      </c>
      <c r="B160" s="1" t="s">
        <v>886</v>
      </c>
      <c r="C160" s="1" t="s">
        <v>87</v>
      </c>
      <c r="D160" s="1" t="s">
        <v>887</v>
      </c>
      <c r="E160" s="1" t="s">
        <v>888</v>
      </c>
      <c r="F160" s="2">
        <v>31612</v>
      </c>
      <c r="G160" s="1" t="s">
        <v>889</v>
      </c>
      <c r="H160" s="1" t="s">
        <v>28</v>
      </c>
      <c r="I160" s="1" t="s">
        <v>29</v>
      </c>
      <c r="J160" s="1" t="s">
        <v>890</v>
      </c>
      <c r="K160" s="1" t="s">
        <v>194</v>
      </c>
      <c r="L160" s="83">
        <v>45796</v>
      </c>
      <c r="M160" s="77" t="s">
        <v>23</v>
      </c>
      <c r="N160" s="3"/>
    </row>
    <row r="161" spans="1:17" ht="12.5" x14ac:dyDescent="0.25">
      <c r="A161" s="68">
        <v>45796.832213182875</v>
      </c>
      <c r="B161" s="4" t="s">
        <v>520</v>
      </c>
      <c r="C161" s="4" t="s">
        <v>617</v>
      </c>
      <c r="D161" s="4" t="s">
        <v>1145</v>
      </c>
      <c r="E161" s="4" t="s">
        <v>1146</v>
      </c>
      <c r="F161" s="5">
        <v>28206</v>
      </c>
      <c r="G161" s="4" t="s">
        <v>1147</v>
      </c>
      <c r="H161" s="4" t="s">
        <v>28</v>
      </c>
      <c r="I161" s="4" t="s">
        <v>29</v>
      </c>
      <c r="J161" s="4" t="s">
        <v>1148</v>
      </c>
      <c r="K161" s="4" t="s">
        <v>31</v>
      </c>
      <c r="L161" s="5">
        <v>45796</v>
      </c>
      <c r="M161" s="4" t="s">
        <v>23</v>
      </c>
      <c r="N161" s="6"/>
    </row>
    <row r="162" spans="1:17" ht="12.5" x14ac:dyDescent="0.25">
      <c r="A162" s="67">
        <v>45796.833230902776</v>
      </c>
      <c r="B162" s="1" t="s">
        <v>515</v>
      </c>
      <c r="C162" s="1" t="s">
        <v>516</v>
      </c>
      <c r="D162" s="1" t="s">
        <v>517</v>
      </c>
      <c r="E162" s="1">
        <v>154659528</v>
      </c>
      <c r="F162" s="2">
        <v>29972</v>
      </c>
      <c r="G162" s="1" t="s">
        <v>518</v>
      </c>
      <c r="H162" s="1" t="s">
        <v>28</v>
      </c>
      <c r="I162" s="1" t="s">
        <v>29</v>
      </c>
      <c r="J162" s="1" t="s">
        <v>519</v>
      </c>
      <c r="K162" s="77" t="s">
        <v>91</v>
      </c>
      <c r="L162" s="83">
        <v>45797</v>
      </c>
      <c r="M162" s="77" t="s">
        <v>23</v>
      </c>
      <c r="N162" s="3"/>
    </row>
    <row r="163" spans="1:17" ht="12.5" x14ac:dyDescent="0.25">
      <c r="A163" s="68">
        <v>45796.833442523144</v>
      </c>
      <c r="B163" s="4" t="s">
        <v>329</v>
      </c>
      <c r="C163" s="4" t="s">
        <v>451</v>
      </c>
      <c r="D163" s="4" t="s">
        <v>873</v>
      </c>
      <c r="E163" s="4" t="s">
        <v>988</v>
      </c>
      <c r="F163" s="5">
        <v>27384</v>
      </c>
      <c r="G163" s="4" t="s">
        <v>989</v>
      </c>
      <c r="H163" s="4" t="s">
        <v>28</v>
      </c>
      <c r="I163" s="4" t="s">
        <v>29</v>
      </c>
      <c r="J163" s="4" t="s">
        <v>990</v>
      </c>
      <c r="K163" s="77" t="s">
        <v>31</v>
      </c>
      <c r="L163" s="83">
        <v>45796</v>
      </c>
      <c r="M163" s="77" t="s">
        <v>23</v>
      </c>
      <c r="N163" s="6"/>
    </row>
    <row r="164" spans="1:17" ht="12.5" x14ac:dyDescent="0.25">
      <c r="A164" s="67">
        <v>45796.845064814814</v>
      </c>
      <c r="B164" s="1" t="s">
        <v>401</v>
      </c>
      <c r="C164" s="1" t="s">
        <v>219</v>
      </c>
      <c r="D164" s="1" t="s">
        <v>402</v>
      </c>
      <c r="E164" s="1" t="s">
        <v>403</v>
      </c>
      <c r="F164" s="2">
        <v>26034</v>
      </c>
      <c r="G164" s="1">
        <v>32378980</v>
      </c>
      <c r="H164" s="1" t="s">
        <v>28</v>
      </c>
      <c r="I164" s="1" t="s">
        <v>29</v>
      </c>
      <c r="J164" s="1" t="s">
        <v>404</v>
      </c>
      <c r="K164" s="1" t="s">
        <v>98</v>
      </c>
      <c r="L164" s="2">
        <v>45801</v>
      </c>
      <c r="M164" s="1"/>
      <c r="N164" s="3"/>
    </row>
    <row r="165" spans="1:17" ht="12.5" x14ac:dyDescent="0.25">
      <c r="A165" s="68">
        <v>45796.883692986114</v>
      </c>
      <c r="B165" s="4" t="s">
        <v>85</v>
      </c>
      <c r="C165" s="4" t="s">
        <v>86</v>
      </c>
      <c r="D165" s="4" t="s">
        <v>87</v>
      </c>
      <c r="E165" s="4" t="s">
        <v>88</v>
      </c>
      <c r="F165" s="5">
        <v>36560</v>
      </c>
      <c r="G165" s="4" t="s">
        <v>89</v>
      </c>
      <c r="H165" s="4" t="s">
        <v>28</v>
      </c>
      <c r="I165" s="4" t="s">
        <v>29</v>
      </c>
      <c r="J165" s="4" t="s">
        <v>90</v>
      </c>
      <c r="K165" s="4" t="s">
        <v>91</v>
      </c>
      <c r="L165" s="5">
        <v>45796</v>
      </c>
      <c r="M165" s="4" t="s">
        <v>23</v>
      </c>
      <c r="N165" s="6"/>
    </row>
    <row r="166" spans="1:17" ht="12.5" x14ac:dyDescent="0.25">
      <c r="A166" s="67">
        <v>45796.884719363428</v>
      </c>
      <c r="B166" s="1" t="s">
        <v>783</v>
      </c>
      <c r="C166" s="1" t="s">
        <v>784</v>
      </c>
      <c r="D166" s="1" t="s">
        <v>785</v>
      </c>
      <c r="E166" s="1">
        <v>116213443</v>
      </c>
      <c r="F166" s="2">
        <v>25908</v>
      </c>
      <c r="G166" s="1">
        <v>77643281</v>
      </c>
      <c r="H166" s="1" t="s">
        <v>28</v>
      </c>
      <c r="I166" s="1" t="s">
        <v>29</v>
      </c>
      <c r="J166" s="1" t="s">
        <v>786</v>
      </c>
      <c r="K166" s="1" t="s">
        <v>58</v>
      </c>
      <c r="L166" s="2">
        <v>45796</v>
      </c>
      <c r="M166" s="1" t="s">
        <v>59</v>
      </c>
      <c r="N166" s="3"/>
    </row>
    <row r="167" spans="1:17" ht="12.5" x14ac:dyDescent="0.25">
      <c r="A167" s="68">
        <v>45796.889870636573</v>
      </c>
      <c r="B167" s="4" t="s">
        <v>54</v>
      </c>
      <c r="C167" s="4" t="s">
        <v>55</v>
      </c>
      <c r="D167" s="4" t="s">
        <v>56</v>
      </c>
      <c r="E167" s="4">
        <v>94307546</v>
      </c>
      <c r="F167" s="5">
        <v>22728</v>
      </c>
      <c r="G167" s="4">
        <v>992861375</v>
      </c>
      <c r="H167" s="4" t="s">
        <v>28</v>
      </c>
      <c r="I167" s="4" t="s">
        <v>29</v>
      </c>
      <c r="J167" s="4" t="s">
        <v>57</v>
      </c>
      <c r="K167" s="4" t="s">
        <v>58</v>
      </c>
      <c r="L167" s="7">
        <v>45796</v>
      </c>
      <c r="M167" s="4" t="s">
        <v>59</v>
      </c>
      <c r="N167" s="6"/>
    </row>
    <row r="168" spans="1:17" ht="12.5" x14ac:dyDescent="0.25">
      <c r="A168" s="67">
        <v>45796.940863217591</v>
      </c>
      <c r="B168" s="1" t="s">
        <v>310</v>
      </c>
      <c r="C168" s="1" t="s">
        <v>311</v>
      </c>
      <c r="D168" s="1" t="s">
        <v>312</v>
      </c>
      <c r="E168" s="1" t="s">
        <v>313</v>
      </c>
      <c r="F168" s="2">
        <v>31397</v>
      </c>
      <c r="G168" s="1">
        <v>965894635</v>
      </c>
      <c r="H168" s="1" t="s">
        <v>28</v>
      </c>
      <c r="I168" s="1" t="s">
        <v>29</v>
      </c>
      <c r="J168" s="1" t="s">
        <v>314</v>
      </c>
      <c r="K168" s="1" t="s">
        <v>31</v>
      </c>
      <c r="L168" s="2">
        <v>45800</v>
      </c>
      <c r="M168" s="1" t="s">
        <v>32</v>
      </c>
      <c r="N168" s="3"/>
    </row>
    <row r="169" spans="1:17" ht="12.5" x14ac:dyDescent="0.25">
      <c r="A169" s="68">
        <v>45796.995043437499</v>
      </c>
      <c r="B169" s="4" t="s">
        <v>800</v>
      </c>
      <c r="C169" s="4" t="s">
        <v>668</v>
      </c>
      <c r="D169" s="4" t="s">
        <v>801</v>
      </c>
      <c r="E169" s="4" t="s">
        <v>802</v>
      </c>
      <c r="F169" s="5">
        <v>28348</v>
      </c>
      <c r="G169" s="4" t="s">
        <v>803</v>
      </c>
      <c r="H169" s="4" t="s">
        <v>28</v>
      </c>
      <c r="I169" s="4" t="s">
        <v>29</v>
      </c>
      <c r="J169" s="4" t="s">
        <v>804</v>
      </c>
      <c r="K169" s="4" t="s">
        <v>122</v>
      </c>
      <c r="L169" s="5">
        <v>45800</v>
      </c>
      <c r="M169" s="4" t="s">
        <v>106</v>
      </c>
      <c r="N169" s="6"/>
    </row>
    <row r="170" spans="1:17" ht="12.5" x14ac:dyDescent="0.25">
      <c r="A170" s="67">
        <v>45797.322646851855</v>
      </c>
      <c r="B170" s="1" t="s">
        <v>662</v>
      </c>
      <c r="C170" s="1" t="s">
        <v>663</v>
      </c>
      <c r="D170" s="1" t="s">
        <v>664</v>
      </c>
      <c r="E170" s="1">
        <v>181391154</v>
      </c>
      <c r="F170" s="2">
        <v>33663</v>
      </c>
      <c r="G170" s="1" t="s">
        <v>665</v>
      </c>
      <c r="H170" s="1" t="s">
        <v>28</v>
      </c>
      <c r="I170" s="1" t="s">
        <v>29</v>
      </c>
      <c r="J170" s="1" t="s">
        <v>666</v>
      </c>
      <c r="K170" s="1" t="s">
        <v>98</v>
      </c>
      <c r="L170" s="2">
        <v>45796</v>
      </c>
      <c r="M170" s="1" t="s">
        <v>59</v>
      </c>
      <c r="N170" s="3"/>
    </row>
    <row r="171" spans="1:17" ht="12.5" x14ac:dyDescent="0.25">
      <c r="A171" s="68">
        <v>45797.34285212963</v>
      </c>
      <c r="B171" s="4" t="s">
        <v>795</v>
      </c>
      <c r="C171" s="4" t="s">
        <v>668</v>
      </c>
      <c r="D171" s="4" t="s">
        <v>796</v>
      </c>
      <c r="E171" s="4" t="s">
        <v>797</v>
      </c>
      <c r="F171" s="5">
        <v>37598</v>
      </c>
      <c r="G171" s="4" t="s">
        <v>798</v>
      </c>
      <c r="H171" s="4" t="s">
        <v>19</v>
      </c>
      <c r="I171" s="4" t="s">
        <v>29</v>
      </c>
      <c r="J171" s="4" t="s">
        <v>799</v>
      </c>
      <c r="K171" s="4" t="s">
        <v>66</v>
      </c>
      <c r="L171" s="5">
        <v>45796</v>
      </c>
      <c r="M171" s="4" t="s">
        <v>59</v>
      </c>
      <c r="N171" s="6"/>
    </row>
    <row r="172" spans="1:17" ht="12.5" x14ac:dyDescent="0.25">
      <c r="A172" s="67">
        <v>45797.377228541663</v>
      </c>
      <c r="B172" s="1" t="s">
        <v>1283</v>
      </c>
      <c r="C172" s="1" t="s">
        <v>1284</v>
      </c>
      <c r="D172" s="1" t="s">
        <v>472</v>
      </c>
      <c r="E172" s="1">
        <v>222887143</v>
      </c>
      <c r="F172" s="2">
        <v>39074</v>
      </c>
      <c r="G172" s="1">
        <v>940982286</v>
      </c>
      <c r="H172" s="1" t="s">
        <v>19</v>
      </c>
      <c r="I172" s="1" t="s">
        <v>29</v>
      </c>
      <c r="J172" s="1" t="s">
        <v>1285</v>
      </c>
      <c r="K172" s="1" t="s">
        <v>66</v>
      </c>
      <c r="L172" s="2">
        <v>45796</v>
      </c>
      <c r="M172" s="1" t="s">
        <v>59</v>
      </c>
      <c r="N172" s="3"/>
      <c r="O172" s="10"/>
      <c r="P172" s="10"/>
      <c r="Q172" s="10"/>
    </row>
    <row r="173" spans="1:17" ht="12.5" x14ac:dyDescent="0.25">
      <c r="A173" s="68">
        <v>45797.487130462963</v>
      </c>
      <c r="B173" s="4" t="s">
        <v>315</v>
      </c>
      <c r="C173" s="4" t="s">
        <v>316</v>
      </c>
      <c r="D173" s="4" t="s">
        <v>317</v>
      </c>
      <c r="E173" s="4">
        <v>128879900</v>
      </c>
      <c r="F173" s="5">
        <v>27489</v>
      </c>
      <c r="G173" s="4">
        <v>954097209</v>
      </c>
      <c r="H173" s="4" t="s">
        <v>28</v>
      </c>
      <c r="I173" s="4" t="s">
        <v>29</v>
      </c>
      <c r="J173" s="4" t="s">
        <v>318</v>
      </c>
      <c r="K173" s="4" t="s">
        <v>31</v>
      </c>
      <c r="L173" s="5">
        <v>45798</v>
      </c>
      <c r="M173" s="4" t="s">
        <v>59</v>
      </c>
      <c r="N173" s="6"/>
    </row>
    <row r="174" spans="1:17" ht="12.5" x14ac:dyDescent="0.25">
      <c r="A174" s="67">
        <v>45797.534742951393</v>
      </c>
      <c r="B174" s="1" t="s">
        <v>213</v>
      </c>
      <c r="C174" s="1" t="s">
        <v>214</v>
      </c>
      <c r="D174" s="1" t="s">
        <v>215</v>
      </c>
      <c r="E174" s="1">
        <v>11851307</v>
      </c>
      <c r="F174" s="2">
        <v>45568</v>
      </c>
      <c r="G174" s="1">
        <v>56996944277</v>
      </c>
      <c r="H174" s="1" t="s">
        <v>28</v>
      </c>
      <c r="I174" s="1" t="s">
        <v>29</v>
      </c>
      <c r="J174" s="1" t="s">
        <v>216</v>
      </c>
      <c r="K174" s="1" t="s">
        <v>122</v>
      </c>
      <c r="L174" s="2">
        <v>45797</v>
      </c>
      <c r="M174" s="1" t="s">
        <v>59</v>
      </c>
      <c r="N174" s="3"/>
    </row>
    <row r="175" spans="1:17" ht="12.5" x14ac:dyDescent="0.25">
      <c r="A175" s="68">
        <v>45797.53626627315</v>
      </c>
      <c r="B175" s="4" t="s">
        <v>1005</v>
      </c>
      <c r="C175" s="4" t="s">
        <v>1006</v>
      </c>
      <c r="D175" s="4" t="s">
        <v>1007</v>
      </c>
      <c r="E175" s="4" t="s">
        <v>1008</v>
      </c>
      <c r="F175" s="5">
        <v>24853</v>
      </c>
      <c r="G175" s="4" t="s">
        <v>1009</v>
      </c>
      <c r="H175" s="4" t="s">
        <v>28</v>
      </c>
      <c r="I175" s="4" t="s">
        <v>29</v>
      </c>
      <c r="J175" s="4" t="s">
        <v>1010</v>
      </c>
      <c r="K175" s="77" t="s">
        <v>122</v>
      </c>
      <c r="L175" s="5">
        <v>45797</v>
      </c>
      <c r="M175" s="77" t="s">
        <v>59</v>
      </c>
      <c r="N175" s="77"/>
    </row>
    <row r="176" spans="1:17" ht="12.5" x14ac:dyDescent="0.25">
      <c r="A176" s="67">
        <v>45797.537318738425</v>
      </c>
      <c r="B176" s="1" t="s">
        <v>1011</v>
      </c>
      <c r="C176" s="1" t="s">
        <v>1006</v>
      </c>
      <c r="D176" s="1" t="s">
        <v>1007</v>
      </c>
      <c r="E176" s="1" t="s">
        <v>1012</v>
      </c>
      <c r="F176" s="2">
        <v>38448</v>
      </c>
      <c r="G176" s="1" t="s">
        <v>1013</v>
      </c>
      <c r="H176" s="1" t="s">
        <v>19</v>
      </c>
      <c r="I176" s="1" t="s">
        <v>29</v>
      </c>
      <c r="J176" s="1" t="s">
        <v>1010</v>
      </c>
      <c r="K176" s="1" t="s">
        <v>66</v>
      </c>
      <c r="L176" s="2">
        <v>45797</v>
      </c>
      <c r="M176" s="1" t="s">
        <v>59</v>
      </c>
      <c r="N176" s="3"/>
    </row>
    <row r="177" spans="1:17" ht="12.5" x14ac:dyDescent="0.25">
      <c r="A177" s="68">
        <v>45797.537781782405</v>
      </c>
      <c r="B177" s="4" t="s">
        <v>238</v>
      </c>
      <c r="C177" s="4" t="s">
        <v>239</v>
      </c>
      <c r="D177" s="4" t="s">
        <v>240</v>
      </c>
      <c r="E177" s="4" t="s">
        <v>241</v>
      </c>
      <c r="F177" s="5">
        <v>24316</v>
      </c>
      <c r="G177" s="4">
        <v>976188561</v>
      </c>
      <c r="H177" s="4" t="s">
        <v>28</v>
      </c>
      <c r="I177" s="4" t="s">
        <v>29</v>
      </c>
      <c r="J177" s="4" t="s">
        <v>242</v>
      </c>
      <c r="K177" s="4" t="s">
        <v>194</v>
      </c>
      <c r="L177" s="5">
        <v>45800</v>
      </c>
      <c r="M177" s="4" t="s">
        <v>106</v>
      </c>
      <c r="N177" s="6"/>
    </row>
    <row r="178" spans="1:17" ht="12.5" x14ac:dyDescent="0.25">
      <c r="A178" s="67">
        <v>45797.549090289351</v>
      </c>
      <c r="B178" s="1" t="s">
        <v>773</v>
      </c>
      <c r="C178" s="1" t="s">
        <v>774</v>
      </c>
      <c r="D178" s="1" t="s">
        <v>775</v>
      </c>
      <c r="E178" s="1" t="s">
        <v>776</v>
      </c>
      <c r="F178" s="2">
        <v>24120</v>
      </c>
      <c r="G178" s="1" t="s">
        <v>777</v>
      </c>
      <c r="H178" s="1" t="s">
        <v>28</v>
      </c>
      <c r="I178" s="1" t="s">
        <v>29</v>
      </c>
      <c r="J178" s="1" t="s">
        <v>778</v>
      </c>
      <c r="K178" s="1" t="s">
        <v>98</v>
      </c>
      <c r="L178" s="2">
        <v>45797</v>
      </c>
      <c r="M178" s="1" t="s">
        <v>59</v>
      </c>
      <c r="N178" s="3"/>
    </row>
    <row r="179" spans="1:17" ht="12.5" x14ac:dyDescent="0.25">
      <c r="A179" s="68">
        <v>45797.563017395834</v>
      </c>
      <c r="B179" s="4" t="s">
        <v>381</v>
      </c>
      <c r="C179" s="4" t="s">
        <v>382</v>
      </c>
      <c r="D179" s="4" t="s">
        <v>383</v>
      </c>
      <c r="E179" s="4" t="s">
        <v>384</v>
      </c>
      <c r="F179" s="5">
        <v>25498</v>
      </c>
      <c r="G179" s="4" t="s">
        <v>385</v>
      </c>
      <c r="H179" s="4" t="s">
        <v>28</v>
      </c>
      <c r="I179" s="4" t="s">
        <v>29</v>
      </c>
      <c r="J179" s="4" t="s">
        <v>386</v>
      </c>
      <c r="K179" s="4" t="s">
        <v>31</v>
      </c>
      <c r="L179" s="5">
        <v>45798</v>
      </c>
      <c r="M179" s="4" t="s">
        <v>59</v>
      </c>
      <c r="N179" s="6"/>
    </row>
    <row r="180" spans="1:17" ht="12.5" x14ac:dyDescent="0.25">
      <c r="A180" s="67">
        <v>45797.572406018517</v>
      </c>
      <c r="B180" s="1" t="s">
        <v>1117</v>
      </c>
      <c r="C180" s="1" t="s">
        <v>1029</v>
      </c>
      <c r="D180" s="1" t="s">
        <v>1118</v>
      </c>
      <c r="E180" s="1" t="s">
        <v>1119</v>
      </c>
      <c r="F180" s="2">
        <v>30384</v>
      </c>
      <c r="G180" s="1">
        <v>940060052</v>
      </c>
      <c r="H180" s="64" t="s">
        <v>1827</v>
      </c>
      <c r="I180" s="1" t="s">
        <v>29</v>
      </c>
      <c r="J180" s="1" t="s">
        <v>1120</v>
      </c>
      <c r="K180" s="1" t="s">
        <v>53</v>
      </c>
      <c r="L180" s="2">
        <v>45801</v>
      </c>
      <c r="M180" s="1"/>
      <c r="N180" s="3"/>
    </row>
    <row r="181" spans="1:17" ht="12.5" x14ac:dyDescent="0.25">
      <c r="A181" s="68">
        <v>45797.572791631945</v>
      </c>
      <c r="B181" s="4" t="s">
        <v>917</v>
      </c>
      <c r="C181" s="4" t="s">
        <v>918</v>
      </c>
      <c r="D181" s="4" t="s">
        <v>919</v>
      </c>
      <c r="E181" s="4" t="s">
        <v>920</v>
      </c>
      <c r="F181" s="5">
        <v>32409</v>
      </c>
      <c r="G181" s="4">
        <v>994402423</v>
      </c>
      <c r="H181" s="75" t="s">
        <v>1827</v>
      </c>
      <c r="I181" s="4" t="s">
        <v>29</v>
      </c>
      <c r="J181" s="4" t="s">
        <v>921</v>
      </c>
      <c r="K181" s="77" t="s">
        <v>53</v>
      </c>
      <c r="L181" s="83">
        <v>45801</v>
      </c>
      <c r="M181" s="77"/>
      <c r="N181" s="6"/>
    </row>
    <row r="182" spans="1:17" ht="12.5" x14ac:dyDescent="0.25">
      <c r="A182" s="67">
        <v>45797.57442034722</v>
      </c>
      <c r="B182" s="1" t="s">
        <v>750</v>
      </c>
      <c r="C182" s="1" t="s">
        <v>745</v>
      </c>
      <c r="D182" s="1" t="s">
        <v>746</v>
      </c>
      <c r="E182" s="1" t="s">
        <v>751</v>
      </c>
      <c r="F182" s="2">
        <v>27352</v>
      </c>
      <c r="G182" s="1" t="s">
        <v>752</v>
      </c>
      <c r="H182" s="1" t="s">
        <v>28</v>
      </c>
      <c r="I182" s="1" t="s">
        <v>29</v>
      </c>
      <c r="J182" s="1" t="s">
        <v>753</v>
      </c>
      <c r="K182" s="1" t="s">
        <v>31</v>
      </c>
      <c r="L182" s="2">
        <v>45800</v>
      </c>
      <c r="M182" s="1" t="s">
        <v>106</v>
      </c>
      <c r="N182" s="3"/>
      <c r="O182" s="10"/>
      <c r="P182" s="10"/>
      <c r="Q182" s="10"/>
    </row>
    <row r="183" spans="1:17" ht="12.5" x14ac:dyDescent="0.25">
      <c r="A183" s="70">
        <v>45797.578277928245</v>
      </c>
      <c r="B183" s="72" t="s">
        <v>896</v>
      </c>
      <c r="C183" s="72" t="s">
        <v>897</v>
      </c>
      <c r="D183" s="72" t="s">
        <v>898</v>
      </c>
      <c r="E183" s="72" t="s">
        <v>899</v>
      </c>
      <c r="F183" s="74">
        <v>27276</v>
      </c>
      <c r="G183" s="72" t="s">
        <v>900</v>
      </c>
      <c r="H183" s="72" t="s">
        <v>28</v>
      </c>
      <c r="I183" s="72" t="s">
        <v>29</v>
      </c>
      <c r="J183" s="72" t="s">
        <v>901</v>
      </c>
      <c r="K183" s="72" t="s">
        <v>122</v>
      </c>
      <c r="L183" s="74">
        <v>45800</v>
      </c>
      <c r="M183" s="72" t="s">
        <v>106</v>
      </c>
      <c r="N183" s="89"/>
    </row>
    <row r="184" spans="1:17" ht="12.5" x14ac:dyDescent="0.25">
      <c r="A184" s="67">
        <v>45797.583278738428</v>
      </c>
      <c r="B184" s="1" t="s">
        <v>507</v>
      </c>
      <c r="C184" s="1" t="s">
        <v>125</v>
      </c>
      <c r="D184" s="1" t="s">
        <v>508</v>
      </c>
      <c r="E184" s="1">
        <v>211949562</v>
      </c>
      <c r="F184" s="2">
        <v>45798</v>
      </c>
      <c r="G184" s="1" t="s">
        <v>509</v>
      </c>
      <c r="H184" s="1" t="s">
        <v>19</v>
      </c>
      <c r="I184" s="1" t="s">
        <v>29</v>
      </c>
      <c r="J184" s="1" t="s">
        <v>510</v>
      </c>
      <c r="K184" s="1" t="s">
        <v>66</v>
      </c>
      <c r="L184" s="2">
        <v>45797</v>
      </c>
      <c r="M184" s="1" t="s">
        <v>59</v>
      </c>
      <c r="N184" s="3"/>
    </row>
    <row r="185" spans="1:17" ht="12.5" x14ac:dyDescent="0.25">
      <c r="A185" s="68">
        <v>45797.587829305558</v>
      </c>
      <c r="B185" s="4" t="s">
        <v>344</v>
      </c>
      <c r="C185" s="4" t="s">
        <v>1493</v>
      </c>
      <c r="D185" s="4" t="s">
        <v>668</v>
      </c>
      <c r="E185" s="4" t="s">
        <v>1494</v>
      </c>
      <c r="F185" s="5">
        <v>24217</v>
      </c>
      <c r="G185" s="4" t="s">
        <v>1495</v>
      </c>
      <c r="H185" s="4" t="s">
        <v>28</v>
      </c>
      <c r="I185" s="4" t="s">
        <v>29</v>
      </c>
      <c r="J185" s="4" t="s">
        <v>1496</v>
      </c>
      <c r="K185" s="77" t="s">
        <v>53</v>
      </c>
      <c r="L185" s="83">
        <v>45797</v>
      </c>
      <c r="M185" s="77" t="s">
        <v>59</v>
      </c>
      <c r="N185" s="6"/>
    </row>
    <row r="186" spans="1:17" ht="12.5" x14ac:dyDescent="0.25">
      <c r="A186" s="67">
        <v>45797.589142569443</v>
      </c>
      <c r="B186" s="1" t="s">
        <v>511</v>
      </c>
      <c r="C186" s="1" t="s">
        <v>125</v>
      </c>
      <c r="D186" s="1" t="s">
        <v>512</v>
      </c>
      <c r="E186" s="1">
        <v>109087645</v>
      </c>
      <c r="F186" s="2">
        <v>29662</v>
      </c>
      <c r="G186" s="1" t="s">
        <v>513</v>
      </c>
      <c r="H186" s="1" t="s">
        <v>28</v>
      </c>
      <c r="I186" s="1" t="s">
        <v>29</v>
      </c>
      <c r="J186" s="1" t="s">
        <v>514</v>
      </c>
      <c r="K186" s="1" t="s">
        <v>31</v>
      </c>
      <c r="L186" s="2">
        <v>45798</v>
      </c>
      <c r="M186" s="1" t="s">
        <v>59</v>
      </c>
      <c r="N186" s="3"/>
    </row>
    <row r="187" spans="1:17" ht="12.5" x14ac:dyDescent="0.25">
      <c r="A187" s="68">
        <v>45797.602750694445</v>
      </c>
      <c r="B187" s="4" t="s">
        <v>866</v>
      </c>
      <c r="C187" s="4" t="s">
        <v>867</v>
      </c>
      <c r="D187" s="4" t="s">
        <v>868</v>
      </c>
      <c r="E187" s="4" t="s">
        <v>869</v>
      </c>
      <c r="F187" s="5">
        <v>31037</v>
      </c>
      <c r="G187" s="4" t="s">
        <v>870</v>
      </c>
      <c r="H187" s="4" t="s">
        <v>28</v>
      </c>
      <c r="I187" s="4" t="s">
        <v>29</v>
      </c>
      <c r="J187" s="4" t="s">
        <v>871</v>
      </c>
      <c r="K187" s="4" t="s">
        <v>31</v>
      </c>
      <c r="L187" s="5">
        <v>45799</v>
      </c>
      <c r="M187" s="4" t="s">
        <v>40</v>
      </c>
      <c r="N187" s="6"/>
      <c r="O187" s="10"/>
      <c r="P187" s="10"/>
      <c r="Q187" s="10"/>
    </row>
    <row r="188" spans="1:17" ht="12.5" x14ac:dyDescent="0.25">
      <c r="A188" s="67">
        <v>45797.610430370369</v>
      </c>
      <c r="B188" s="1" t="s">
        <v>491</v>
      </c>
      <c r="C188" s="1" t="s">
        <v>231</v>
      </c>
      <c r="D188" s="1" t="s">
        <v>168</v>
      </c>
      <c r="E188" s="1" t="s">
        <v>492</v>
      </c>
      <c r="F188" s="2">
        <v>29694</v>
      </c>
      <c r="G188" s="1" t="s">
        <v>493</v>
      </c>
      <c r="H188" s="1" t="s">
        <v>28</v>
      </c>
      <c r="I188" s="1" t="s">
        <v>29</v>
      </c>
      <c r="J188" s="1" t="s">
        <v>494</v>
      </c>
      <c r="K188" s="1" t="s">
        <v>31</v>
      </c>
      <c r="L188" s="81"/>
      <c r="M188" s="81"/>
      <c r="N188" s="3"/>
    </row>
    <row r="189" spans="1:17" ht="12.5" x14ac:dyDescent="0.25">
      <c r="A189" s="68">
        <v>45797.612317905092</v>
      </c>
      <c r="B189" s="4" t="s">
        <v>459</v>
      </c>
      <c r="C189" s="4" t="s">
        <v>1199</v>
      </c>
      <c r="D189" s="4" t="s">
        <v>1200</v>
      </c>
      <c r="E189" s="4">
        <v>128089012</v>
      </c>
      <c r="F189" s="5">
        <v>45992</v>
      </c>
      <c r="G189" s="4">
        <v>963747989</v>
      </c>
      <c r="H189" s="4" t="s">
        <v>28</v>
      </c>
      <c r="I189" s="4" t="s">
        <v>29</v>
      </c>
      <c r="J189" s="4" t="s">
        <v>1201</v>
      </c>
      <c r="K189" s="4" t="s">
        <v>31</v>
      </c>
      <c r="L189" s="5">
        <v>45794</v>
      </c>
      <c r="M189" s="4" t="s">
        <v>59</v>
      </c>
      <c r="N189" s="6"/>
    </row>
    <row r="190" spans="1:17" ht="12.5" x14ac:dyDescent="0.25">
      <c r="A190" s="67">
        <v>45797.632191076387</v>
      </c>
      <c r="B190" s="1" t="s">
        <v>549</v>
      </c>
      <c r="C190" s="1" t="s">
        <v>505</v>
      </c>
      <c r="D190" s="1" t="s">
        <v>582</v>
      </c>
      <c r="E190" s="1">
        <v>209708159</v>
      </c>
      <c r="F190" s="2">
        <v>37305</v>
      </c>
      <c r="G190" s="1" t="s">
        <v>583</v>
      </c>
      <c r="H190" s="1" t="s">
        <v>19</v>
      </c>
      <c r="I190" s="1" t="s">
        <v>29</v>
      </c>
      <c r="J190" s="1" t="s">
        <v>584</v>
      </c>
      <c r="K190" s="1" t="s">
        <v>66</v>
      </c>
      <c r="L190" s="2">
        <v>45797</v>
      </c>
      <c r="M190" s="1" t="s">
        <v>59</v>
      </c>
      <c r="N190" s="3"/>
      <c r="O190" s="10"/>
      <c r="P190" s="10"/>
      <c r="Q190" s="10"/>
    </row>
    <row r="191" spans="1:17" ht="12.5" x14ac:dyDescent="0.25">
      <c r="A191" s="70">
        <v>45797.648427372682</v>
      </c>
      <c r="B191" s="72" t="s">
        <v>850</v>
      </c>
      <c r="C191" s="72" t="s">
        <v>847</v>
      </c>
      <c r="D191" s="72" t="s">
        <v>851</v>
      </c>
      <c r="E191" s="72">
        <v>114764817</v>
      </c>
      <c r="F191" s="74">
        <v>25539</v>
      </c>
      <c r="G191" s="72" t="s">
        <v>852</v>
      </c>
      <c r="H191" s="72" t="s">
        <v>28</v>
      </c>
      <c r="I191" s="72" t="s">
        <v>29</v>
      </c>
      <c r="J191" s="72" t="s">
        <v>853</v>
      </c>
      <c r="K191" s="72" t="s">
        <v>98</v>
      </c>
      <c r="L191" s="74">
        <v>45800</v>
      </c>
      <c r="M191" s="72" t="s">
        <v>40</v>
      </c>
      <c r="N191" s="89"/>
    </row>
    <row r="192" spans="1:17" ht="12.5" x14ac:dyDescent="0.25">
      <c r="A192" s="67">
        <v>45797.649109768521</v>
      </c>
      <c r="B192" s="1" t="s">
        <v>876</v>
      </c>
      <c r="C192" s="1" t="s">
        <v>877</v>
      </c>
      <c r="D192" s="1" t="s">
        <v>878</v>
      </c>
      <c r="E192" s="1" t="s">
        <v>879</v>
      </c>
      <c r="F192" s="2">
        <v>29382</v>
      </c>
      <c r="G192" s="1">
        <v>947907924</v>
      </c>
      <c r="H192" s="1" t="s">
        <v>28</v>
      </c>
      <c r="I192" s="1" t="s">
        <v>29</v>
      </c>
      <c r="J192" s="1" t="s">
        <v>880</v>
      </c>
      <c r="K192" s="1" t="s">
        <v>53</v>
      </c>
      <c r="L192" s="83">
        <v>45797</v>
      </c>
      <c r="M192" s="77" t="s">
        <v>59</v>
      </c>
      <c r="N192" s="3"/>
    </row>
    <row r="193" spans="1:17" ht="12.5" x14ac:dyDescent="0.25">
      <c r="A193" s="68">
        <v>45797.649153356484</v>
      </c>
      <c r="B193" s="4" t="s">
        <v>1387</v>
      </c>
      <c r="C193" s="4" t="s">
        <v>848</v>
      </c>
      <c r="D193" s="4" t="s">
        <v>1388</v>
      </c>
      <c r="E193" s="4">
        <v>97852057</v>
      </c>
      <c r="F193" s="5">
        <v>23227</v>
      </c>
      <c r="G193" s="4">
        <v>997011166</v>
      </c>
      <c r="H193" s="4" t="s">
        <v>28</v>
      </c>
      <c r="I193" s="4" t="s">
        <v>29</v>
      </c>
      <c r="J193" s="4" t="s">
        <v>1389</v>
      </c>
      <c r="K193" s="4" t="s">
        <v>98</v>
      </c>
      <c r="L193" s="5">
        <v>45800</v>
      </c>
      <c r="M193" s="4" t="s">
        <v>40</v>
      </c>
      <c r="N193" s="6"/>
    </row>
    <row r="194" spans="1:17" ht="12.5" x14ac:dyDescent="0.25">
      <c r="A194" s="70">
        <v>45797.649774513891</v>
      </c>
      <c r="B194" s="72" t="s">
        <v>846</v>
      </c>
      <c r="C194" s="72" t="s">
        <v>847</v>
      </c>
      <c r="D194" s="72" t="s">
        <v>848</v>
      </c>
      <c r="E194" s="72">
        <v>177831611</v>
      </c>
      <c r="F194" s="74">
        <v>33385</v>
      </c>
      <c r="G194" s="72">
        <v>989485293</v>
      </c>
      <c r="H194" s="72" t="s">
        <v>28</v>
      </c>
      <c r="I194" s="72" t="s">
        <v>29</v>
      </c>
      <c r="J194" s="72" t="s">
        <v>849</v>
      </c>
      <c r="K194" s="72" t="s">
        <v>98</v>
      </c>
      <c r="L194" s="74">
        <v>45800</v>
      </c>
      <c r="M194" s="72" t="s">
        <v>40</v>
      </c>
      <c r="N194" s="89"/>
    </row>
    <row r="195" spans="1:17" ht="12.5" x14ac:dyDescent="0.25">
      <c r="A195" s="68">
        <v>45797.669521782409</v>
      </c>
      <c r="B195" s="4" t="s">
        <v>1265</v>
      </c>
      <c r="C195" s="4" t="s">
        <v>1448</v>
      </c>
      <c r="D195" s="4" t="s">
        <v>1449</v>
      </c>
      <c r="E195" s="4">
        <v>196472851</v>
      </c>
      <c r="F195" s="5">
        <v>35508</v>
      </c>
      <c r="G195" s="4">
        <v>52282354</v>
      </c>
      <c r="H195" s="4" t="s">
        <v>78</v>
      </c>
      <c r="I195" s="4" t="s">
        <v>29</v>
      </c>
      <c r="J195" s="4" t="s">
        <v>1450</v>
      </c>
      <c r="K195" s="4" t="s">
        <v>22</v>
      </c>
      <c r="L195" s="83">
        <v>45797</v>
      </c>
      <c r="M195" s="77" t="s">
        <v>59</v>
      </c>
      <c r="N195" s="6"/>
    </row>
    <row r="196" spans="1:17" ht="12.5" x14ac:dyDescent="0.25">
      <c r="A196" s="67">
        <v>45797.685392673608</v>
      </c>
      <c r="B196" s="1" t="s">
        <v>1395</v>
      </c>
      <c r="C196" s="1" t="s">
        <v>1396</v>
      </c>
      <c r="D196" s="1" t="s">
        <v>479</v>
      </c>
      <c r="E196" s="1">
        <v>156970476</v>
      </c>
      <c r="F196" s="2">
        <v>30576</v>
      </c>
      <c r="G196" s="1" t="s">
        <v>1397</v>
      </c>
      <c r="H196" s="1" t="s">
        <v>28</v>
      </c>
      <c r="I196" s="1" t="s">
        <v>29</v>
      </c>
      <c r="J196" s="1" t="s">
        <v>1398</v>
      </c>
      <c r="K196" s="77" t="s">
        <v>91</v>
      </c>
      <c r="L196" s="83">
        <v>45796</v>
      </c>
      <c r="M196" s="77" t="s">
        <v>40</v>
      </c>
      <c r="N196" s="3"/>
    </row>
    <row r="197" spans="1:17" ht="12.5" x14ac:dyDescent="0.25">
      <c r="A197" s="68">
        <v>45797.717395752319</v>
      </c>
      <c r="B197" s="4" t="s">
        <v>598</v>
      </c>
      <c r="C197" s="4" t="s">
        <v>1484</v>
      </c>
      <c r="D197" s="4" t="s">
        <v>1485</v>
      </c>
      <c r="E197" s="4" t="s">
        <v>1486</v>
      </c>
      <c r="F197" s="5">
        <v>38694</v>
      </c>
      <c r="G197" s="4" t="s">
        <v>1487</v>
      </c>
      <c r="H197" s="4" t="s">
        <v>19</v>
      </c>
      <c r="I197" s="4" t="s">
        <v>29</v>
      </c>
      <c r="J197" s="4" t="s">
        <v>1488</v>
      </c>
      <c r="K197" s="4" t="s">
        <v>66</v>
      </c>
      <c r="L197" s="5">
        <v>45797</v>
      </c>
      <c r="M197" s="4" t="s">
        <v>40</v>
      </c>
      <c r="N197" s="6"/>
    </row>
    <row r="198" spans="1:17" ht="12.5" x14ac:dyDescent="0.25">
      <c r="A198" s="67">
        <v>45797.728594479166</v>
      </c>
      <c r="B198" s="1" t="s">
        <v>1135</v>
      </c>
      <c r="C198" s="1" t="s">
        <v>856</v>
      </c>
      <c r="D198" s="1" t="s">
        <v>230</v>
      </c>
      <c r="E198" s="1" t="s">
        <v>1136</v>
      </c>
      <c r="F198" s="2">
        <v>32126</v>
      </c>
      <c r="G198" s="1">
        <v>954137784</v>
      </c>
      <c r="H198" s="1" t="s">
        <v>28</v>
      </c>
      <c r="I198" s="1" t="s">
        <v>29</v>
      </c>
      <c r="J198" s="1" t="s">
        <v>1137</v>
      </c>
      <c r="K198" s="1" t="s">
        <v>31</v>
      </c>
      <c r="L198" s="2">
        <v>45797</v>
      </c>
      <c r="M198" s="1" t="s">
        <v>40</v>
      </c>
      <c r="N198" s="3"/>
    </row>
    <row r="199" spans="1:17" ht="12.5" x14ac:dyDescent="0.25">
      <c r="A199" s="70">
        <v>45797.734824652776</v>
      </c>
      <c r="B199" s="72" t="s">
        <v>319</v>
      </c>
      <c r="C199" s="72" t="s">
        <v>320</v>
      </c>
      <c r="D199" s="72" t="s">
        <v>321</v>
      </c>
      <c r="E199" s="72" t="s">
        <v>322</v>
      </c>
      <c r="F199" s="74">
        <v>26839</v>
      </c>
      <c r="G199" s="72" t="s">
        <v>323</v>
      </c>
      <c r="H199" s="72" t="s">
        <v>28</v>
      </c>
      <c r="I199" s="72" t="s">
        <v>29</v>
      </c>
      <c r="J199" s="72" t="s">
        <v>324</v>
      </c>
      <c r="K199" s="72" t="s">
        <v>53</v>
      </c>
      <c r="L199" s="74">
        <v>45800</v>
      </c>
      <c r="M199" s="72" t="s">
        <v>40</v>
      </c>
      <c r="N199" s="89"/>
      <c r="O199" s="10"/>
      <c r="P199" s="10"/>
      <c r="Q199" s="10"/>
    </row>
    <row r="200" spans="1:17" ht="12.5" x14ac:dyDescent="0.25">
      <c r="A200" s="67">
        <v>45797.766826805557</v>
      </c>
      <c r="B200" s="1" t="s">
        <v>123</v>
      </c>
      <c r="C200" s="1" t="s">
        <v>124</v>
      </c>
      <c r="D200" s="1" t="s">
        <v>125</v>
      </c>
      <c r="E200" s="1" t="s">
        <v>126</v>
      </c>
      <c r="F200" s="2">
        <v>28991</v>
      </c>
      <c r="G200" s="1" t="s">
        <v>127</v>
      </c>
      <c r="H200" s="1" t="s">
        <v>28</v>
      </c>
      <c r="I200" s="1" t="s">
        <v>29</v>
      </c>
      <c r="J200" s="1" t="s">
        <v>128</v>
      </c>
      <c r="K200" s="1" t="s">
        <v>31</v>
      </c>
      <c r="L200" s="2">
        <v>45797</v>
      </c>
      <c r="M200" s="1" t="s">
        <v>40</v>
      </c>
      <c r="N200" s="3"/>
    </row>
    <row r="201" spans="1:17" ht="12.5" x14ac:dyDescent="0.25">
      <c r="A201" s="68">
        <v>45797.772938923612</v>
      </c>
      <c r="B201" s="4" t="s">
        <v>1312</v>
      </c>
      <c r="C201" s="4" t="s">
        <v>131</v>
      </c>
      <c r="D201" s="4" t="s">
        <v>1313</v>
      </c>
      <c r="E201" s="4" t="s">
        <v>1314</v>
      </c>
      <c r="F201" s="5">
        <v>29579</v>
      </c>
      <c r="G201" s="4" t="s">
        <v>1315</v>
      </c>
      <c r="H201" s="4" t="s">
        <v>28</v>
      </c>
      <c r="I201" s="4" t="s">
        <v>29</v>
      </c>
      <c r="J201" s="4" t="s">
        <v>1316</v>
      </c>
      <c r="K201" s="4" t="s">
        <v>31</v>
      </c>
      <c r="L201" s="5">
        <v>45797</v>
      </c>
      <c r="M201" s="4" t="s">
        <v>40</v>
      </c>
      <c r="N201" s="6"/>
    </row>
    <row r="202" spans="1:17" ht="12.5" x14ac:dyDescent="0.25">
      <c r="A202" s="70">
        <v>45797.77594925926</v>
      </c>
      <c r="B202" s="72" t="s">
        <v>129</v>
      </c>
      <c r="C202" s="72" t="s">
        <v>130</v>
      </c>
      <c r="D202" s="72" t="s">
        <v>131</v>
      </c>
      <c r="E202" s="72" t="s">
        <v>132</v>
      </c>
      <c r="F202" s="74">
        <v>40867</v>
      </c>
      <c r="G202" s="72" t="s">
        <v>133</v>
      </c>
      <c r="H202" s="72" t="s">
        <v>19</v>
      </c>
      <c r="I202" s="72" t="s">
        <v>29</v>
      </c>
      <c r="J202" s="72" t="s">
        <v>134</v>
      </c>
      <c r="K202" s="72" t="s">
        <v>66</v>
      </c>
      <c r="L202" s="74">
        <v>45797</v>
      </c>
      <c r="M202" s="72" t="s">
        <v>40</v>
      </c>
      <c r="N202" s="89"/>
    </row>
    <row r="203" spans="1:17" ht="12.5" x14ac:dyDescent="0.25">
      <c r="A203" s="67">
        <v>45797.819075266205</v>
      </c>
      <c r="B203" s="1" t="s">
        <v>590</v>
      </c>
      <c r="C203" s="1" t="s">
        <v>586</v>
      </c>
      <c r="D203" s="1" t="s">
        <v>119</v>
      </c>
      <c r="E203" s="1" t="s">
        <v>591</v>
      </c>
      <c r="F203" s="2">
        <v>28241</v>
      </c>
      <c r="G203" s="1">
        <v>938990193</v>
      </c>
      <c r="H203" s="1" t="s">
        <v>78</v>
      </c>
      <c r="I203" s="1" t="s">
        <v>38</v>
      </c>
      <c r="J203" s="1" t="s">
        <v>592</v>
      </c>
      <c r="K203" s="1" t="s">
        <v>22</v>
      </c>
      <c r="L203" s="63">
        <v>45801</v>
      </c>
      <c r="M203" s="81"/>
      <c r="N203" s="3"/>
    </row>
    <row r="204" spans="1:17" ht="12.5" x14ac:dyDescent="0.25">
      <c r="A204" s="68">
        <v>45797.824278391199</v>
      </c>
      <c r="B204" s="4" t="s">
        <v>1455</v>
      </c>
      <c r="C204" s="4" t="s">
        <v>1456</v>
      </c>
      <c r="D204" s="4" t="s">
        <v>1457</v>
      </c>
      <c r="E204" s="4" t="s">
        <v>1458</v>
      </c>
      <c r="F204" s="5">
        <v>25239</v>
      </c>
      <c r="G204" s="4" t="s">
        <v>1459</v>
      </c>
      <c r="H204" s="75" t="s">
        <v>1827</v>
      </c>
      <c r="I204" s="4" t="s">
        <v>38</v>
      </c>
      <c r="J204" s="4" t="s">
        <v>1460</v>
      </c>
      <c r="K204" s="4" t="s">
        <v>1461</v>
      </c>
      <c r="L204" s="63">
        <v>45801</v>
      </c>
      <c r="M204" s="79"/>
      <c r="N204" s="6"/>
    </row>
    <row r="205" spans="1:17" ht="12.5" x14ac:dyDescent="0.25">
      <c r="A205" s="67">
        <v>45797.845528078702</v>
      </c>
      <c r="B205" s="1" t="s">
        <v>1478</v>
      </c>
      <c r="C205" s="1" t="s">
        <v>1479</v>
      </c>
      <c r="D205" s="1" t="s">
        <v>599</v>
      </c>
      <c r="E205" s="1" t="s">
        <v>1480</v>
      </c>
      <c r="F205" s="2">
        <v>30543</v>
      </c>
      <c r="G205" s="1" t="s">
        <v>1481</v>
      </c>
      <c r="H205" s="1" t="s">
        <v>28</v>
      </c>
      <c r="I205" s="1" t="s">
        <v>1482</v>
      </c>
      <c r="J205" s="1" t="s">
        <v>1483</v>
      </c>
      <c r="K205" s="1" t="s">
        <v>98</v>
      </c>
      <c r="L205" s="83">
        <v>45797</v>
      </c>
      <c r="M205" s="1" t="s">
        <v>40</v>
      </c>
      <c r="N205" s="3"/>
    </row>
    <row r="206" spans="1:17" ht="12.5" x14ac:dyDescent="0.25">
      <c r="A206" s="68">
        <v>45797.845966388893</v>
      </c>
      <c r="B206" s="4" t="s">
        <v>634</v>
      </c>
      <c r="C206" s="4" t="s">
        <v>56</v>
      </c>
      <c r="D206" s="4" t="s">
        <v>281</v>
      </c>
      <c r="E206" s="4" t="s">
        <v>635</v>
      </c>
      <c r="F206" s="5">
        <v>45765</v>
      </c>
      <c r="G206" s="4" t="s">
        <v>636</v>
      </c>
      <c r="H206" s="4" t="s">
        <v>28</v>
      </c>
      <c r="I206" s="4" t="s">
        <v>29</v>
      </c>
      <c r="J206" s="4" t="s">
        <v>637</v>
      </c>
      <c r="K206" s="77" t="s">
        <v>53</v>
      </c>
      <c r="L206" s="83">
        <v>45799</v>
      </c>
      <c r="M206" s="77" t="s">
        <v>40</v>
      </c>
      <c r="N206" s="89"/>
    </row>
    <row r="207" spans="1:17" ht="12.5" x14ac:dyDescent="0.25">
      <c r="A207" s="67">
        <v>45797.851666192131</v>
      </c>
      <c r="B207" s="1" t="s">
        <v>915</v>
      </c>
      <c r="C207" s="1" t="s">
        <v>947</v>
      </c>
      <c r="D207" s="1" t="s">
        <v>948</v>
      </c>
      <c r="E207" s="1" t="s">
        <v>949</v>
      </c>
      <c r="F207" s="2">
        <v>18254</v>
      </c>
      <c r="G207" s="1" t="s">
        <v>950</v>
      </c>
      <c r="H207" s="1" t="s">
        <v>28</v>
      </c>
      <c r="I207" s="1" t="s">
        <v>951</v>
      </c>
      <c r="J207" s="1" t="s">
        <v>952</v>
      </c>
      <c r="K207" s="1" t="s">
        <v>953</v>
      </c>
      <c r="L207" s="2">
        <v>45797</v>
      </c>
      <c r="M207" s="1" t="s">
        <v>40</v>
      </c>
      <c r="N207" s="3"/>
    </row>
    <row r="208" spans="1:17" ht="12.5" x14ac:dyDescent="0.25">
      <c r="A208" s="68">
        <v>45797.957633182872</v>
      </c>
      <c r="B208" s="4" t="s">
        <v>224</v>
      </c>
      <c r="C208" s="4" t="s">
        <v>225</v>
      </c>
      <c r="D208" s="4" t="s">
        <v>226</v>
      </c>
      <c r="E208" s="4">
        <v>129476834</v>
      </c>
      <c r="F208" s="5">
        <v>27876</v>
      </c>
      <c r="G208" s="4" t="s">
        <v>227</v>
      </c>
      <c r="H208" s="4" t="s">
        <v>28</v>
      </c>
      <c r="I208" s="4" t="s">
        <v>29</v>
      </c>
      <c r="J208" s="4" t="s">
        <v>228</v>
      </c>
      <c r="K208" s="4" t="s">
        <v>31</v>
      </c>
      <c r="L208" s="5">
        <v>45798</v>
      </c>
      <c r="M208" s="4" t="s">
        <v>40</v>
      </c>
      <c r="N208" s="6"/>
    </row>
    <row r="209" spans="1:17" ht="12.5" x14ac:dyDescent="0.25">
      <c r="A209" s="67">
        <v>45798.008888425931</v>
      </c>
      <c r="B209" s="1" t="s">
        <v>1037</v>
      </c>
      <c r="C209" s="1" t="s">
        <v>152</v>
      </c>
      <c r="D209" s="1" t="s">
        <v>1038</v>
      </c>
      <c r="E209" s="1" t="s">
        <v>1039</v>
      </c>
      <c r="F209" s="2">
        <v>39871</v>
      </c>
      <c r="G209" s="1" t="s">
        <v>1040</v>
      </c>
      <c r="H209" s="1" t="s">
        <v>19</v>
      </c>
      <c r="I209" s="1" t="s">
        <v>29</v>
      </c>
      <c r="J209" s="1" t="s">
        <v>1041</v>
      </c>
      <c r="K209" s="1" t="s">
        <v>66</v>
      </c>
      <c r="L209" s="2">
        <v>45798</v>
      </c>
      <c r="M209" s="1" t="s">
        <v>40</v>
      </c>
      <c r="N209" s="3"/>
    </row>
    <row r="210" spans="1:17" ht="12.5" x14ac:dyDescent="0.25">
      <c r="A210" s="68">
        <v>45798.018164861111</v>
      </c>
      <c r="B210" s="4" t="s">
        <v>1252</v>
      </c>
      <c r="C210" s="4" t="s">
        <v>1417</v>
      </c>
      <c r="D210" s="4" t="s">
        <v>1420</v>
      </c>
      <c r="E210" s="4" t="s">
        <v>1421</v>
      </c>
      <c r="F210" s="5">
        <v>19691</v>
      </c>
      <c r="G210" s="4" t="s">
        <v>572</v>
      </c>
      <c r="H210" s="4" t="s">
        <v>78</v>
      </c>
      <c r="I210" s="4" t="s">
        <v>38</v>
      </c>
      <c r="J210" s="4" t="s">
        <v>573</v>
      </c>
      <c r="K210" s="80" t="s">
        <v>458</v>
      </c>
      <c r="L210" s="86">
        <v>45801</v>
      </c>
      <c r="M210" s="79"/>
      <c r="N210" s="6"/>
    </row>
    <row r="211" spans="1:17" ht="12.5" x14ac:dyDescent="0.25">
      <c r="A211" s="70">
        <v>45798.019028368057</v>
      </c>
      <c r="B211" s="72" t="s">
        <v>569</v>
      </c>
      <c r="C211" s="72" t="s">
        <v>185</v>
      </c>
      <c r="D211" s="72" t="s">
        <v>570</v>
      </c>
      <c r="E211" s="72" t="s">
        <v>571</v>
      </c>
      <c r="F211" s="74">
        <v>21679</v>
      </c>
      <c r="G211" s="72" t="s">
        <v>572</v>
      </c>
      <c r="H211" s="64" t="s">
        <v>1827</v>
      </c>
      <c r="I211" s="72" t="s">
        <v>38</v>
      </c>
      <c r="J211" s="72" t="s">
        <v>573</v>
      </c>
      <c r="K211" s="82" t="s">
        <v>22</v>
      </c>
      <c r="L211" s="87">
        <v>45801</v>
      </c>
      <c r="M211" s="78"/>
      <c r="N211" s="89"/>
    </row>
    <row r="212" spans="1:17" ht="12.5" x14ac:dyDescent="0.25">
      <c r="A212" s="68">
        <v>45798.367861469902</v>
      </c>
      <c r="B212" s="4" t="s">
        <v>628</v>
      </c>
      <c r="C212" s="4" t="s">
        <v>629</v>
      </c>
      <c r="D212" s="4" t="s">
        <v>630</v>
      </c>
      <c r="E212" s="4" t="s">
        <v>631</v>
      </c>
      <c r="F212" s="5">
        <v>22832</v>
      </c>
      <c r="G212" s="4" t="s">
        <v>632</v>
      </c>
      <c r="H212" s="4" t="s">
        <v>28</v>
      </c>
      <c r="I212" s="4" t="s">
        <v>29</v>
      </c>
      <c r="J212" s="4" t="s">
        <v>633</v>
      </c>
      <c r="K212" s="79"/>
      <c r="L212" s="5">
        <v>45798</v>
      </c>
      <c r="M212" s="4" t="s">
        <v>40</v>
      </c>
      <c r="N212" s="6"/>
    </row>
    <row r="213" spans="1:17" ht="12.5" x14ac:dyDescent="0.25">
      <c r="A213" s="67">
        <v>45798.484287326384</v>
      </c>
      <c r="B213" s="1" t="s">
        <v>954</v>
      </c>
      <c r="C213" s="1" t="s">
        <v>479</v>
      </c>
      <c r="D213" s="1" t="s">
        <v>657</v>
      </c>
      <c r="E213" s="1" t="s">
        <v>955</v>
      </c>
      <c r="F213" s="2">
        <v>23383</v>
      </c>
      <c r="G213" s="1" t="s">
        <v>956</v>
      </c>
      <c r="H213" s="1" t="s">
        <v>28</v>
      </c>
      <c r="I213" s="1" t="s">
        <v>29</v>
      </c>
      <c r="J213" s="1" t="s">
        <v>957</v>
      </c>
      <c r="K213" s="1" t="s">
        <v>91</v>
      </c>
      <c r="L213" s="2">
        <v>45799</v>
      </c>
      <c r="M213" s="1" t="s">
        <v>106</v>
      </c>
      <c r="N213" s="3"/>
    </row>
    <row r="214" spans="1:17" ht="12.5" x14ac:dyDescent="0.25">
      <c r="A214" s="68">
        <v>45798.494403356483</v>
      </c>
      <c r="B214" s="4" t="s">
        <v>1073</v>
      </c>
      <c r="C214" s="4" t="s">
        <v>204</v>
      </c>
      <c r="D214" s="4" t="s">
        <v>1074</v>
      </c>
      <c r="E214" s="4" t="s">
        <v>1075</v>
      </c>
      <c r="F214" s="5">
        <v>22906</v>
      </c>
      <c r="G214" s="4" t="s">
        <v>1076</v>
      </c>
      <c r="H214" s="4" t="s">
        <v>28</v>
      </c>
      <c r="I214" s="4" t="s">
        <v>29</v>
      </c>
      <c r="J214" s="4" t="s">
        <v>1077</v>
      </c>
      <c r="K214" s="4" t="s">
        <v>91</v>
      </c>
      <c r="L214" s="5">
        <v>45799</v>
      </c>
      <c r="M214" s="4" t="s">
        <v>106</v>
      </c>
      <c r="N214" s="6"/>
      <c r="O214" s="10"/>
      <c r="P214" s="10"/>
      <c r="Q214" s="10"/>
    </row>
    <row r="215" spans="1:17" ht="12.5" x14ac:dyDescent="0.25">
      <c r="A215" s="67">
        <v>45798.515050509261</v>
      </c>
      <c r="B215" s="1" t="s">
        <v>1167</v>
      </c>
      <c r="C215" s="1" t="s">
        <v>1168</v>
      </c>
      <c r="D215" s="1" t="s">
        <v>1169</v>
      </c>
      <c r="E215" s="1" t="s">
        <v>1170</v>
      </c>
      <c r="F215" s="2">
        <v>19005</v>
      </c>
      <c r="G215" s="1" t="s">
        <v>1171</v>
      </c>
      <c r="H215" s="1" t="s">
        <v>28</v>
      </c>
      <c r="I215" s="1" t="s">
        <v>29</v>
      </c>
      <c r="J215" s="1" t="s">
        <v>1172</v>
      </c>
      <c r="K215" s="1" t="s">
        <v>53</v>
      </c>
      <c r="L215" s="2">
        <v>45798</v>
      </c>
      <c r="M215" s="1" t="s">
        <v>106</v>
      </c>
      <c r="N215" s="3"/>
    </row>
    <row r="216" spans="1:17" ht="12.5" x14ac:dyDescent="0.25">
      <c r="A216" s="68">
        <v>45798.566255949074</v>
      </c>
      <c r="B216" s="4" t="s">
        <v>275</v>
      </c>
      <c r="C216" s="4" t="s">
        <v>668</v>
      </c>
      <c r="D216" s="4" t="s">
        <v>791</v>
      </c>
      <c r="E216" s="4" t="s">
        <v>792</v>
      </c>
      <c r="F216" s="5">
        <v>31793</v>
      </c>
      <c r="G216" s="4" t="s">
        <v>793</v>
      </c>
      <c r="H216" s="4" t="s">
        <v>78</v>
      </c>
      <c r="I216" s="4" t="s">
        <v>38</v>
      </c>
      <c r="J216" s="4" t="s">
        <v>794</v>
      </c>
      <c r="K216" s="79"/>
      <c r="L216" s="79"/>
      <c r="M216" s="79"/>
      <c r="N216" s="6"/>
    </row>
    <row r="217" spans="1:17" ht="12.5" x14ac:dyDescent="0.25">
      <c r="A217" s="67">
        <v>45798.596811979165</v>
      </c>
      <c r="B217" s="1" t="s">
        <v>243</v>
      </c>
      <c r="C217" s="1" t="s">
        <v>239</v>
      </c>
      <c r="D217" s="1" t="s">
        <v>151</v>
      </c>
      <c r="E217" s="1" t="s">
        <v>244</v>
      </c>
      <c r="F217" s="2">
        <v>22851</v>
      </c>
      <c r="G217" s="1" t="s">
        <v>245</v>
      </c>
      <c r="H217" s="1" t="s">
        <v>28</v>
      </c>
      <c r="I217" s="1" t="s">
        <v>29</v>
      </c>
      <c r="J217" s="1" t="s">
        <v>246</v>
      </c>
      <c r="K217" s="77" t="s">
        <v>91</v>
      </c>
      <c r="L217" s="83">
        <v>45798</v>
      </c>
      <c r="M217" s="77" t="s">
        <v>106</v>
      </c>
      <c r="N217" s="77"/>
    </row>
    <row r="218" spans="1:17" ht="12.5" x14ac:dyDescent="0.25">
      <c r="A218" s="68">
        <v>45798.690461562495</v>
      </c>
      <c r="B218" s="4" t="s">
        <v>818</v>
      </c>
      <c r="C218" s="4" t="s">
        <v>819</v>
      </c>
      <c r="D218" s="4" t="s">
        <v>820</v>
      </c>
      <c r="E218" s="4">
        <v>203950470</v>
      </c>
      <c r="F218" s="5">
        <v>36519</v>
      </c>
      <c r="G218" s="4">
        <v>56743330</v>
      </c>
      <c r="H218" s="4" t="s">
        <v>19</v>
      </c>
      <c r="I218" s="4" t="s">
        <v>29</v>
      </c>
      <c r="J218" s="4" t="s">
        <v>821</v>
      </c>
      <c r="K218" s="4" t="s">
        <v>66</v>
      </c>
      <c r="L218" s="5">
        <v>45797</v>
      </c>
      <c r="M218" s="4" t="s">
        <v>106</v>
      </c>
      <c r="N218" s="6"/>
    </row>
    <row r="219" spans="1:17" ht="12.5" x14ac:dyDescent="0.25">
      <c r="A219" s="67">
        <v>45798.705137407407</v>
      </c>
      <c r="B219" s="1" t="s">
        <v>915</v>
      </c>
      <c r="C219" s="1" t="s">
        <v>912</v>
      </c>
      <c r="D219" s="1" t="s">
        <v>913</v>
      </c>
      <c r="E219" s="1">
        <v>184806592</v>
      </c>
      <c r="F219" s="2">
        <v>34113</v>
      </c>
      <c r="G219" s="1">
        <v>967014948</v>
      </c>
      <c r="H219" s="1" t="s">
        <v>78</v>
      </c>
      <c r="I219" s="1" t="s">
        <v>38</v>
      </c>
      <c r="J219" s="1" t="s">
        <v>916</v>
      </c>
      <c r="K219" s="1" t="s">
        <v>458</v>
      </c>
      <c r="L219" s="2">
        <v>45798</v>
      </c>
      <c r="M219" s="1" t="s">
        <v>106</v>
      </c>
      <c r="N219" s="3"/>
    </row>
    <row r="220" spans="1:17" ht="12.5" x14ac:dyDescent="0.25">
      <c r="A220" s="68">
        <v>45798.707263067132</v>
      </c>
      <c r="B220" s="4" t="s">
        <v>937</v>
      </c>
      <c r="C220" s="4" t="s">
        <v>938</v>
      </c>
      <c r="D220" s="4" t="s">
        <v>939</v>
      </c>
      <c r="E220" s="4">
        <v>179247496</v>
      </c>
      <c r="F220" s="5">
        <v>33423</v>
      </c>
      <c r="G220" s="4" t="s">
        <v>940</v>
      </c>
      <c r="H220" s="4" t="s">
        <v>78</v>
      </c>
      <c r="I220" s="4" t="s">
        <v>38</v>
      </c>
      <c r="J220" s="4" t="s">
        <v>941</v>
      </c>
      <c r="K220" s="4" t="s">
        <v>458</v>
      </c>
      <c r="L220" s="5">
        <v>45798</v>
      </c>
      <c r="M220" s="4" t="s">
        <v>106</v>
      </c>
      <c r="N220" s="6"/>
    </row>
    <row r="221" spans="1:17" ht="12.5" x14ac:dyDescent="0.25">
      <c r="A221" s="67">
        <v>45798.738114618056</v>
      </c>
      <c r="B221" s="1" t="s">
        <v>1042</v>
      </c>
      <c r="C221" s="1" t="s">
        <v>152</v>
      </c>
      <c r="D221" s="1" t="s">
        <v>1038</v>
      </c>
      <c r="E221" s="1">
        <v>214655187</v>
      </c>
      <c r="F221" s="2">
        <v>37970</v>
      </c>
      <c r="G221" s="1" t="s">
        <v>1043</v>
      </c>
      <c r="H221" s="1" t="s">
        <v>19</v>
      </c>
      <c r="I221" s="1" t="s">
        <v>29</v>
      </c>
      <c r="J221" s="1" t="s">
        <v>1044</v>
      </c>
      <c r="K221" s="1" t="s">
        <v>66</v>
      </c>
      <c r="L221" s="2">
        <v>45798</v>
      </c>
      <c r="M221" s="1" t="s">
        <v>106</v>
      </c>
      <c r="N221" s="3"/>
    </row>
    <row r="222" spans="1:17" ht="12.5" x14ac:dyDescent="0.25">
      <c r="A222" s="68">
        <v>45798.777188506945</v>
      </c>
      <c r="B222" s="4" t="s">
        <v>156</v>
      </c>
      <c r="C222" s="4" t="s">
        <v>157</v>
      </c>
      <c r="D222" s="4" t="s">
        <v>158</v>
      </c>
      <c r="E222" s="4" t="s">
        <v>159</v>
      </c>
      <c r="F222" s="5">
        <v>29715</v>
      </c>
      <c r="G222" s="4" t="s">
        <v>160</v>
      </c>
      <c r="H222" s="4" t="s">
        <v>78</v>
      </c>
      <c r="I222" s="4" t="s">
        <v>29</v>
      </c>
      <c r="J222" s="4" t="s">
        <v>161</v>
      </c>
      <c r="K222" s="4" t="s">
        <v>22</v>
      </c>
      <c r="L222" s="5">
        <v>45799</v>
      </c>
      <c r="M222" s="4" t="s">
        <v>106</v>
      </c>
      <c r="N222" s="6"/>
    </row>
    <row r="223" spans="1:17" ht="12.5" x14ac:dyDescent="0.25">
      <c r="A223" s="67">
        <v>45798.814891979171</v>
      </c>
      <c r="B223" s="1" t="s">
        <v>112</v>
      </c>
      <c r="C223" s="1" t="s">
        <v>113</v>
      </c>
      <c r="D223" s="1" t="s">
        <v>114</v>
      </c>
      <c r="E223" s="1">
        <v>132769079</v>
      </c>
      <c r="F223" s="2">
        <v>28238</v>
      </c>
      <c r="G223" s="1" t="s">
        <v>115</v>
      </c>
      <c r="H223" s="1" t="s">
        <v>78</v>
      </c>
      <c r="I223" s="1" t="s">
        <v>38</v>
      </c>
      <c r="J223" s="1" t="s">
        <v>116</v>
      </c>
      <c r="K223" s="1" t="s">
        <v>72</v>
      </c>
      <c r="L223" s="2">
        <v>45798</v>
      </c>
      <c r="M223" s="1" t="s">
        <v>106</v>
      </c>
      <c r="N223" s="3"/>
    </row>
    <row r="224" spans="1:17" ht="12.5" x14ac:dyDescent="0.25">
      <c r="A224" s="68">
        <v>45798.848638171301</v>
      </c>
      <c r="B224" s="4" t="s">
        <v>369</v>
      </c>
      <c r="C224" s="4" t="s">
        <v>370</v>
      </c>
      <c r="D224" s="4" t="s">
        <v>371</v>
      </c>
      <c r="E224" s="4" t="s">
        <v>372</v>
      </c>
      <c r="F224" s="5">
        <v>24919</v>
      </c>
      <c r="G224" s="4" t="s">
        <v>373</v>
      </c>
      <c r="H224" s="4" t="s">
        <v>28</v>
      </c>
      <c r="I224" s="4" t="s">
        <v>29</v>
      </c>
      <c r="J224" s="4" t="s">
        <v>374</v>
      </c>
      <c r="K224" s="4" t="s">
        <v>98</v>
      </c>
      <c r="L224" s="5">
        <v>45798</v>
      </c>
      <c r="M224" s="4" t="s">
        <v>40</v>
      </c>
      <c r="N224" s="6"/>
    </row>
    <row r="225" spans="1:17" ht="12.5" x14ac:dyDescent="0.25">
      <c r="A225" s="67">
        <v>45798.860860659726</v>
      </c>
      <c r="B225" s="1" t="s">
        <v>437</v>
      </c>
      <c r="C225" s="1" t="s">
        <v>438</v>
      </c>
      <c r="D225" s="1" t="s">
        <v>439</v>
      </c>
      <c r="E225" s="1" t="s">
        <v>440</v>
      </c>
      <c r="F225" s="2">
        <v>35258</v>
      </c>
      <c r="G225" s="1" t="s">
        <v>441</v>
      </c>
      <c r="H225" s="1" t="s">
        <v>78</v>
      </c>
      <c r="I225" s="1" t="s">
        <v>442</v>
      </c>
      <c r="J225" s="1" t="s">
        <v>443</v>
      </c>
      <c r="K225" s="81"/>
      <c r="L225" s="81"/>
      <c r="M225" s="81"/>
      <c r="N225" s="3"/>
      <c r="O225" s="10"/>
      <c r="P225" s="10"/>
      <c r="Q225" s="10"/>
    </row>
    <row r="226" spans="1:17" ht="12.5" x14ac:dyDescent="0.25">
      <c r="A226" s="68">
        <v>45798.937333275462</v>
      </c>
      <c r="B226" s="4" t="s">
        <v>387</v>
      </c>
      <c r="C226" s="4" t="s">
        <v>388</v>
      </c>
      <c r="D226" s="4" t="s">
        <v>240</v>
      </c>
      <c r="E226" s="4" t="s">
        <v>389</v>
      </c>
      <c r="F226" s="5">
        <v>26248</v>
      </c>
      <c r="G226" s="4" t="s">
        <v>390</v>
      </c>
      <c r="H226" s="4" t="s">
        <v>28</v>
      </c>
      <c r="I226" s="4" t="s">
        <v>29</v>
      </c>
      <c r="J226" s="4" t="s">
        <v>391</v>
      </c>
      <c r="K226" s="4" t="s">
        <v>98</v>
      </c>
      <c r="L226" s="83">
        <v>45799</v>
      </c>
      <c r="M226" s="4" t="s">
        <v>40</v>
      </c>
      <c r="N226" s="6"/>
    </row>
    <row r="227" spans="1:17" ht="12.5" x14ac:dyDescent="0.25">
      <c r="A227" s="70">
        <v>45798.985436435185</v>
      </c>
      <c r="B227" s="72" t="s">
        <v>1371</v>
      </c>
      <c r="C227" s="72" t="s">
        <v>144</v>
      </c>
      <c r="D227" s="72" t="s">
        <v>1372</v>
      </c>
      <c r="E227" s="72" t="s">
        <v>1373</v>
      </c>
      <c r="F227" s="74">
        <v>28379</v>
      </c>
      <c r="G227" s="72">
        <v>982481965</v>
      </c>
      <c r="H227" s="72" t="s">
        <v>28</v>
      </c>
      <c r="I227" s="72" t="s">
        <v>29</v>
      </c>
      <c r="J227" s="72" t="s">
        <v>1374</v>
      </c>
      <c r="K227" s="72" t="s">
        <v>53</v>
      </c>
      <c r="L227" s="74">
        <v>45799</v>
      </c>
      <c r="M227" s="72" t="s">
        <v>40</v>
      </c>
      <c r="N227" s="89"/>
    </row>
    <row r="228" spans="1:17" ht="12.5" x14ac:dyDescent="0.25">
      <c r="A228" s="68">
        <v>45798.986531134258</v>
      </c>
      <c r="B228" s="4" t="s">
        <v>147</v>
      </c>
      <c r="C228" s="4" t="s">
        <v>143</v>
      </c>
      <c r="D228" s="4" t="s">
        <v>148</v>
      </c>
      <c r="E228" s="4" t="s">
        <v>149</v>
      </c>
      <c r="F228" s="5">
        <v>27548</v>
      </c>
      <c r="G228" s="4">
        <v>56944732412</v>
      </c>
      <c r="H228" s="4" t="s">
        <v>28</v>
      </c>
      <c r="I228" s="4" t="s">
        <v>29</v>
      </c>
      <c r="J228" s="4" t="s">
        <v>146</v>
      </c>
      <c r="K228" s="4" t="s">
        <v>53</v>
      </c>
      <c r="L228" s="5">
        <v>45799</v>
      </c>
      <c r="M228" s="4" t="s">
        <v>40</v>
      </c>
      <c r="N228" s="6"/>
    </row>
    <row r="229" spans="1:17" ht="12.5" x14ac:dyDescent="0.25">
      <c r="A229" s="67">
        <v>45798.987933854165</v>
      </c>
      <c r="B229" s="1" t="s">
        <v>142</v>
      </c>
      <c r="C229" s="1" t="s">
        <v>143</v>
      </c>
      <c r="D229" s="1" t="s">
        <v>144</v>
      </c>
      <c r="E229" s="1" t="s">
        <v>145</v>
      </c>
      <c r="F229" s="2">
        <v>39144</v>
      </c>
      <c r="G229" s="1">
        <v>944815167</v>
      </c>
      <c r="H229" s="1" t="s">
        <v>19</v>
      </c>
      <c r="I229" s="1" t="s">
        <v>29</v>
      </c>
      <c r="J229" s="1" t="s">
        <v>146</v>
      </c>
      <c r="K229" s="1" t="s">
        <v>66</v>
      </c>
      <c r="L229" s="2">
        <v>45799</v>
      </c>
      <c r="M229" s="1" t="s">
        <v>40</v>
      </c>
      <c r="N229" s="3"/>
    </row>
    <row r="230" spans="1:17" ht="12.5" x14ac:dyDescent="0.25">
      <c r="A230" s="68">
        <v>45799.3450390625</v>
      </c>
      <c r="B230" s="4" t="s">
        <v>275</v>
      </c>
      <c r="C230" s="4" t="s">
        <v>276</v>
      </c>
      <c r="D230" s="4" t="s">
        <v>234</v>
      </c>
      <c r="E230" s="4" t="s">
        <v>277</v>
      </c>
      <c r="F230" s="5">
        <v>29165</v>
      </c>
      <c r="G230" s="4" t="s">
        <v>278</v>
      </c>
      <c r="H230" s="4" t="s">
        <v>28</v>
      </c>
      <c r="I230" s="4" t="s">
        <v>29</v>
      </c>
      <c r="J230" s="4" t="s">
        <v>279</v>
      </c>
      <c r="K230" s="4" t="s">
        <v>98</v>
      </c>
      <c r="L230" s="5">
        <v>45799</v>
      </c>
      <c r="M230" s="4" t="s">
        <v>40</v>
      </c>
      <c r="N230" s="6"/>
    </row>
    <row r="231" spans="1:17" ht="12.5" x14ac:dyDescent="0.25">
      <c r="A231" s="67">
        <v>45799.39146373843</v>
      </c>
      <c r="B231" s="1" t="s">
        <v>1018</v>
      </c>
      <c r="C231" s="1" t="s">
        <v>1019</v>
      </c>
      <c r="D231" s="1" t="s">
        <v>1020</v>
      </c>
      <c r="E231" s="1">
        <v>106805083</v>
      </c>
      <c r="F231" s="2">
        <v>25994</v>
      </c>
      <c r="G231" s="1">
        <v>998842659</v>
      </c>
      <c r="H231" s="1" t="s">
        <v>28</v>
      </c>
      <c r="I231" s="1" t="s">
        <v>29</v>
      </c>
      <c r="J231" s="1" t="s">
        <v>1021</v>
      </c>
      <c r="K231" s="1" t="s">
        <v>98</v>
      </c>
      <c r="L231" s="2">
        <v>45799</v>
      </c>
      <c r="M231" s="1" t="s">
        <v>40</v>
      </c>
      <c r="N231" s="3"/>
    </row>
    <row r="232" spans="1:17" ht="12.5" x14ac:dyDescent="0.25">
      <c r="A232" s="68">
        <v>45799.446873402776</v>
      </c>
      <c r="B232" s="4" t="s">
        <v>433</v>
      </c>
      <c r="C232" s="4" t="s">
        <v>428</v>
      </c>
      <c r="D232" s="4" t="s">
        <v>434</v>
      </c>
      <c r="E232" s="4" t="s">
        <v>435</v>
      </c>
      <c r="F232" s="5">
        <v>29336</v>
      </c>
      <c r="G232" s="4">
        <v>932189243</v>
      </c>
      <c r="H232" s="4" t="s">
        <v>28</v>
      </c>
      <c r="I232" s="4" t="s">
        <v>29</v>
      </c>
      <c r="J232" s="4" t="s">
        <v>436</v>
      </c>
      <c r="K232" s="77" t="s">
        <v>91</v>
      </c>
      <c r="L232" s="83">
        <v>45799</v>
      </c>
      <c r="M232" s="77" t="s">
        <v>40</v>
      </c>
      <c r="N232" s="77"/>
    </row>
    <row r="233" spans="1:17" ht="12.5" x14ac:dyDescent="0.25">
      <c r="A233" s="67">
        <v>45799.462946631946</v>
      </c>
      <c r="B233" s="1" t="s">
        <v>716</v>
      </c>
      <c r="C233" s="1" t="s">
        <v>709</v>
      </c>
      <c r="D233" s="1" t="s">
        <v>717</v>
      </c>
      <c r="E233" s="1">
        <v>189934335</v>
      </c>
      <c r="F233" s="2">
        <v>34756</v>
      </c>
      <c r="G233" s="1" t="s">
        <v>718</v>
      </c>
      <c r="H233" s="1" t="s">
        <v>78</v>
      </c>
      <c r="I233" s="1" t="s">
        <v>719</v>
      </c>
      <c r="J233" s="1" t="s">
        <v>720</v>
      </c>
      <c r="K233" s="1" t="s">
        <v>22</v>
      </c>
      <c r="L233" s="2">
        <v>45799</v>
      </c>
      <c r="M233" s="81"/>
      <c r="N233" s="3"/>
    </row>
    <row r="234" spans="1:17" ht="12.5" x14ac:dyDescent="0.25">
      <c r="A234" s="68">
        <v>45799.611665081015</v>
      </c>
      <c r="B234" s="4" t="s">
        <v>1332</v>
      </c>
      <c r="C234" s="4" t="s">
        <v>1333</v>
      </c>
      <c r="D234" s="4" t="s">
        <v>1228</v>
      </c>
      <c r="E234" s="4" t="s">
        <v>1334</v>
      </c>
      <c r="F234" s="5">
        <v>32080</v>
      </c>
      <c r="G234" s="4" t="s">
        <v>1335</v>
      </c>
      <c r="H234" s="4" t="s">
        <v>78</v>
      </c>
      <c r="I234" s="4" t="s">
        <v>349</v>
      </c>
      <c r="J234" s="4" t="s">
        <v>380</v>
      </c>
      <c r="K234" s="4" t="s">
        <v>22</v>
      </c>
      <c r="L234" s="5">
        <v>45799</v>
      </c>
      <c r="M234" s="4" t="s">
        <v>40</v>
      </c>
      <c r="N234" s="6"/>
      <c r="O234" s="14"/>
      <c r="P234" s="14"/>
      <c r="Q234" s="14"/>
    </row>
    <row r="235" spans="1:17" ht="12.5" x14ac:dyDescent="0.25">
      <c r="A235" s="67">
        <v>45799.613252997689</v>
      </c>
      <c r="B235" s="1" t="s">
        <v>375</v>
      </c>
      <c r="C235" s="1" t="s">
        <v>376</v>
      </c>
      <c r="D235" s="1" t="s">
        <v>377</v>
      </c>
      <c r="E235" s="1" t="s">
        <v>378</v>
      </c>
      <c r="F235" s="2">
        <v>33187</v>
      </c>
      <c r="G235" s="1" t="s">
        <v>379</v>
      </c>
      <c r="H235" s="1" t="s">
        <v>78</v>
      </c>
      <c r="I235" s="1" t="s">
        <v>349</v>
      </c>
      <c r="J235" s="1" t="s">
        <v>380</v>
      </c>
      <c r="K235" s="1" t="s">
        <v>22</v>
      </c>
      <c r="L235" s="2">
        <v>45799</v>
      </c>
      <c r="M235" s="1" t="s">
        <v>40</v>
      </c>
      <c r="N235" s="3"/>
    </row>
    <row r="236" spans="1:17" ht="12.5" x14ac:dyDescent="0.25">
      <c r="A236" s="68">
        <v>45799.614335011574</v>
      </c>
      <c r="B236" s="4" t="s">
        <v>858</v>
      </c>
      <c r="C236" s="4" t="s">
        <v>855</v>
      </c>
      <c r="D236" s="4" t="s">
        <v>745</v>
      </c>
      <c r="E236" s="4" t="s">
        <v>859</v>
      </c>
      <c r="F236" s="5">
        <v>39980</v>
      </c>
      <c r="G236" s="4" t="s">
        <v>860</v>
      </c>
      <c r="H236" s="4" t="s">
        <v>19</v>
      </c>
      <c r="I236" s="4" t="s">
        <v>29</v>
      </c>
      <c r="J236" s="4" t="s">
        <v>861</v>
      </c>
      <c r="K236" s="4" t="s">
        <v>66</v>
      </c>
      <c r="L236" s="5">
        <v>45800</v>
      </c>
      <c r="M236" s="4" t="s">
        <v>106</v>
      </c>
      <c r="N236" s="6"/>
      <c r="O236" s="10"/>
      <c r="P236" s="10"/>
      <c r="Q236" s="10"/>
    </row>
    <row r="237" spans="1:17" ht="12.5" x14ac:dyDescent="0.25">
      <c r="A237" s="67">
        <v>45799.681885648148</v>
      </c>
      <c r="B237" s="1" t="s">
        <v>942</v>
      </c>
      <c r="C237" s="1" t="s">
        <v>943</v>
      </c>
      <c r="D237" s="1" t="s">
        <v>402</v>
      </c>
      <c r="E237" s="1" t="s">
        <v>944</v>
      </c>
      <c r="F237" s="2">
        <v>28295</v>
      </c>
      <c r="G237" s="1" t="s">
        <v>945</v>
      </c>
      <c r="H237" s="64" t="s">
        <v>1830</v>
      </c>
      <c r="I237" s="1" t="s">
        <v>38</v>
      </c>
      <c r="J237" s="1" t="s">
        <v>946</v>
      </c>
      <c r="K237" s="1"/>
      <c r="L237" s="2">
        <v>45801</v>
      </c>
      <c r="M237" s="1"/>
      <c r="N237" s="3"/>
    </row>
    <row r="238" spans="1:17" ht="12.5" x14ac:dyDescent="0.25">
      <c r="A238" s="70">
        <v>45799.684175891205</v>
      </c>
      <c r="B238" s="72" t="s">
        <v>1223</v>
      </c>
      <c r="C238" s="72" t="s">
        <v>282</v>
      </c>
      <c r="D238" s="72" t="s">
        <v>943</v>
      </c>
      <c r="E238" s="72" t="s">
        <v>1224</v>
      </c>
      <c r="F238" s="74">
        <v>38961</v>
      </c>
      <c r="G238" s="72" t="s">
        <v>1225</v>
      </c>
      <c r="H238" s="97" t="s">
        <v>1828</v>
      </c>
      <c r="I238" s="72" t="s">
        <v>38</v>
      </c>
      <c r="J238" s="72" t="s">
        <v>1226</v>
      </c>
      <c r="K238" s="72"/>
      <c r="L238" s="74">
        <v>45801</v>
      </c>
      <c r="M238" s="72"/>
      <c r="N238" s="89"/>
    </row>
    <row r="239" spans="1:17" ht="12.5" x14ac:dyDescent="0.25">
      <c r="A239" s="67">
        <v>45799.687577986115</v>
      </c>
      <c r="B239" s="1" t="s">
        <v>1219</v>
      </c>
      <c r="C239" s="1" t="s">
        <v>282</v>
      </c>
      <c r="D239" s="1" t="s">
        <v>938</v>
      </c>
      <c r="E239" s="1" t="s">
        <v>1220</v>
      </c>
      <c r="F239" s="2">
        <v>36524</v>
      </c>
      <c r="G239" s="1" t="s">
        <v>1221</v>
      </c>
      <c r="H239" s="64" t="s">
        <v>1828</v>
      </c>
      <c r="I239" s="1" t="s">
        <v>38</v>
      </c>
      <c r="J239" s="1" t="s">
        <v>1222</v>
      </c>
      <c r="K239" s="1"/>
      <c r="L239" s="2">
        <v>45801</v>
      </c>
      <c r="M239" s="1"/>
      <c r="N239" s="3"/>
    </row>
    <row r="240" spans="1:17" ht="12.5" x14ac:dyDescent="0.25">
      <c r="A240" s="70">
        <v>45799.689937291667</v>
      </c>
      <c r="B240" s="72" t="s">
        <v>33</v>
      </c>
      <c r="C240" s="72" t="s">
        <v>973</v>
      </c>
      <c r="D240" s="72" t="s">
        <v>892</v>
      </c>
      <c r="E240" s="72">
        <v>182205680</v>
      </c>
      <c r="F240" s="74">
        <v>33743</v>
      </c>
      <c r="G240" s="72" t="s">
        <v>974</v>
      </c>
      <c r="H240" s="72" t="s">
        <v>28</v>
      </c>
      <c r="I240" s="72" t="s">
        <v>29</v>
      </c>
      <c r="J240" s="72" t="s">
        <v>975</v>
      </c>
      <c r="K240" s="78"/>
      <c r="L240" s="87">
        <v>45801</v>
      </c>
      <c r="M240" s="78"/>
      <c r="N240" s="9" t="s">
        <v>976</v>
      </c>
      <c r="O240" s="14"/>
      <c r="P240" s="14"/>
      <c r="Q240" s="14"/>
    </row>
    <row r="241" spans="1:17" ht="12.5" x14ac:dyDescent="0.25">
      <c r="A241" s="67">
        <v>45799.704451967591</v>
      </c>
      <c r="B241" s="1" t="s">
        <v>926</v>
      </c>
      <c r="C241" s="1" t="s">
        <v>927</v>
      </c>
      <c r="D241" s="1" t="s">
        <v>928</v>
      </c>
      <c r="E241" s="1" t="s">
        <v>929</v>
      </c>
      <c r="F241" s="2">
        <v>21474</v>
      </c>
      <c r="G241" s="1" t="s">
        <v>930</v>
      </c>
      <c r="H241" s="64" t="s">
        <v>1827</v>
      </c>
      <c r="I241" s="1" t="s">
        <v>29</v>
      </c>
      <c r="J241" s="1" t="s">
        <v>931</v>
      </c>
      <c r="K241" s="76" t="s">
        <v>53</v>
      </c>
      <c r="L241" s="84">
        <v>45801</v>
      </c>
      <c r="M241" s="81"/>
      <c r="N241" s="3"/>
      <c r="O241" s="14"/>
      <c r="P241" s="14"/>
      <c r="Q241" s="14"/>
    </row>
    <row r="242" spans="1:17" ht="12.5" x14ac:dyDescent="0.25">
      <c r="A242" s="68">
        <v>45799.733480706018</v>
      </c>
      <c r="B242" s="4" t="s">
        <v>787</v>
      </c>
      <c r="C242" s="4" t="s">
        <v>788</v>
      </c>
      <c r="D242" s="4" t="s">
        <v>399</v>
      </c>
      <c r="E242" s="4">
        <v>201471303</v>
      </c>
      <c r="F242" s="5">
        <v>36380</v>
      </c>
      <c r="G242" s="4" t="s">
        <v>789</v>
      </c>
      <c r="H242" s="4" t="s">
        <v>28</v>
      </c>
      <c r="I242" s="4" t="s">
        <v>29</v>
      </c>
      <c r="J242" s="4" t="s">
        <v>790</v>
      </c>
      <c r="K242" s="79"/>
      <c r="L242" s="79"/>
      <c r="M242" s="79"/>
      <c r="N242" s="6"/>
    </row>
    <row r="243" spans="1:17" ht="12.5" x14ac:dyDescent="0.25">
      <c r="A243" s="67">
        <v>45799.790125567131</v>
      </c>
      <c r="B243" s="1" t="s">
        <v>1237</v>
      </c>
      <c r="C243" s="1" t="s">
        <v>1123</v>
      </c>
      <c r="D243" s="1" t="s">
        <v>745</v>
      </c>
      <c r="E243" s="1" t="s">
        <v>1238</v>
      </c>
      <c r="F243" s="2">
        <v>40183</v>
      </c>
      <c r="G243" s="1" t="s">
        <v>1239</v>
      </c>
      <c r="H243" s="1" t="s">
        <v>19</v>
      </c>
      <c r="I243" s="1" t="s">
        <v>29</v>
      </c>
      <c r="J243" s="1" t="s">
        <v>1240</v>
      </c>
      <c r="K243" s="1" t="s">
        <v>66</v>
      </c>
      <c r="L243" s="2">
        <v>45799</v>
      </c>
      <c r="M243" s="1" t="s">
        <v>40</v>
      </c>
      <c r="N243" s="3"/>
    </row>
    <row r="244" spans="1:17" ht="12.5" x14ac:dyDescent="0.25">
      <c r="A244" s="68">
        <v>45799.832425555556</v>
      </c>
      <c r="B244" s="4" t="s">
        <v>881</v>
      </c>
      <c r="C244" s="4" t="s">
        <v>882</v>
      </c>
      <c r="D244" s="4" t="s">
        <v>423</v>
      </c>
      <c r="E244" s="4" t="s">
        <v>883</v>
      </c>
      <c r="F244" s="5">
        <v>30877</v>
      </c>
      <c r="G244" s="4" t="s">
        <v>884</v>
      </c>
      <c r="H244" s="4" t="s">
        <v>78</v>
      </c>
      <c r="I244" s="4" t="s">
        <v>38</v>
      </c>
      <c r="J244" s="4" t="s">
        <v>885</v>
      </c>
      <c r="K244" s="79"/>
      <c r="L244" s="79"/>
      <c r="M244" s="79"/>
      <c r="N244" s="6"/>
    </row>
    <row r="245" spans="1:17" ht="12.5" x14ac:dyDescent="0.25">
      <c r="A245" s="67">
        <v>45799.845668796297</v>
      </c>
      <c r="B245" s="1" t="s">
        <v>427</v>
      </c>
      <c r="C245" s="1" t="s">
        <v>428</v>
      </c>
      <c r="D245" s="1" t="s">
        <v>429</v>
      </c>
      <c r="E245" s="1" t="s">
        <v>430</v>
      </c>
      <c r="F245" s="2">
        <v>37422</v>
      </c>
      <c r="G245" s="1" t="s">
        <v>431</v>
      </c>
      <c r="H245" s="1" t="s">
        <v>19</v>
      </c>
      <c r="I245" s="1" t="s">
        <v>29</v>
      </c>
      <c r="J245" s="1" t="s">
        <v>432</v>
      </c>
      <c r="K245" s="77" t="s">
        <v>66</v>
      </c>
      <c r="L245" s="83">
        <v>45799</v>
      </c>
      <c r="M245" s="77" t="s">
        <v>40</v>
      </c>
      <c r="N245" s="3"/>
    </row>
    <row r="246" spans="1:17" ht="12.5" x14ac:dyDescent="0.25">
      <c r="A246" s="68">
        <v>45799.877972187503</v>
      </c>
      <c r="B246" s="4" t="s">
        <v>1336</v>
      </c>
      <c r="C246" s="4" t="s">
        <v>1337</v>
      </c>
      <c r="D246" s="4" t="s">
        <v>1338</v>
      </c>
      <c r="E246" s="4" t="s">
        <v>1339</v>
      </c>
      <c r="F246" s="5">
        <v>28600</v>
      </c>
      <c r="G246" s="4">
        <v>74994820</v>
      </c>
      <c r="H246" s="4" t="s">
        <v>28</v>
      </c>
      <c r="I246" s="4" t="s">
        <v>29</v>
      </c>
      <c r="J246" s="4" t="s">
        <v>1340</v>
      </c>
      <c r="K246" s="4" t="s">
        <v>91</v>
      </c>
      <c r="L246" s="5">
        <v>45799</v>
      </c>
      <c r="M246" s="4" t="s">
        <v>40</v>
      </c>
      <c r="N246" s="6"/>
    </row>
    <row r="247" spans="1:17" ht="12.5" x14ac:dyDescent="0.25">
      <c r="A247" s="67">
        <v>45799.895626863421</v>
      </c>
      <c r="B247" s="1" t="s">
        <v>1057</v>
      </c>
      <c r="C247" s="1" t="s">
        <v>1058</v>
      </c>
      <c r="D247" s="1" t="s">
        <v>938</v>
      </c>
      <c r="E247" s="1">
        <v>220607070</v>
      </c>
      <c r="F247" s="2">
        <v>38771</v>
      </c>
      <c r="G247" s="1">
        <v>959956644</v>
      </c>
      <c r="H247" s="64" t="s">
        <v>1828</v>
      </c>
      <c r="I247" s="1" t="s">
        <v>29</v>
      </c>
      <c r="J247" s="1" t="s">
        <v>1059</v>
      </c>
      <c r="K247" s="1"/>
      <c r="L247" s="2">
        <v>45801</v>
      </c>
      <c r="M247" s="1"/>
      <c r="N247" s="3"/>
    </row>
    <row r="248" spans="1:17" ht="12.5" x14ac:dyDescent="0.25">
      <c r="A248" s="68">
        <v>45799.908921736111</v>
      </c>
      <c r="B248" s="4" t="s">
        <v>1317</v>
      </c>
      <c r="C248" s="4" t="s">
        <v>267</v>
      </c>
      <c r="D248" s="4" t="s">
        <v>737</v>
      </c>
      <c r="E248" s="4" t="s">
        <v>1318</v>
      </c>
      <c r="F248" s="5">
        <v>35649</v>
      </c>
      <c r="G248" s="4" t="s">
        <v>1319</v>
      </c>
      <c r="H248" s="4" t="s">
        <v>28</v>
      </c>
      <c r="I248" s="4" t="s">
        <v>29</v>
      </c>
      <c r="J248" s="4" t="s">
        <v>1320</v>
      </c>
      <c r="K248" s="79"/>
      <c r="L248" s="4" t="s">
        <v>46</v>
      </c>
      <c r="M248" s="4" t="s">
        <v>47</v>
      </c>
      <c r="N248" s="6"/>
      <c r="O248" s="10"/>
      <c r="P248" s="10"/>
      <c r="Q248" s="10"/>
    </row>
    <row r="249" spans="1:17" ht="12.5" x14ac:dyDescent="0.25">
      <c r="A249" s="69">
        <v>45799.979646053238</v>
      </c>
      <c r="B249" s="71" t="s">
        <v>616</v>
      </c>
      <c r="C249" s="71" t="s">
        <v>612</v>
      </c>
      <c r="D249" s="71" t="s">
        <v>617</v>
      </c>
      <c r="E249" s="71" t="s">
        <v>618</v>
      </c>
      <c r="F249" s="73">
        <v>21920</v>
      </c>
      <c r="G249" s="71">
        <v>989208925</v>
      </c>
      <c r="H249" s="71" t="s">
        <v>28</v>
      </c>
      <c r="I249" s="71" t="s">
        <v>29</v>
      </c>
      <c r="J249" s="71" t="s">
        <v>619</v>
      </c>
      <c r="K249" s="71" t="s">
        <v>91</v>
      </c>
      <c r="L249" s="73">
        <v>45799</v>
      </c>
      <c r="M249" s="71" t="s">
        <v>40</v>
      </c>
      <c r="N249" s="88"/>
      <c r="O249" s="10"/>
      <c r="P249" s="10"/>
      <c r="Q249" s="10"/>
    </row>
    <row r="250" spans="1:17" ht="12.5" x14ac:dyDescent="0.25">
      <c r="A250" s="68">
        <v>45800.00562653935</v>
      </c>
      <c r="B250" s="4" t="s">
        <v>1275</v>
      </c>
      <c r="C250" s="4" t="s">
        <v>1270</v>
      </c>
      <c r="D250" s="4" t="s">
        <v>1276</v>
      </c>
      <c r="E250" s="4" t="s">
        <v>1277</v>
      </c>
      <c r="F250" s="5">
        <v>28183</v>
      </c>
      <c r="G250" s="4" t="s">
        <v>1278</v>
      </c>
      <c r="H250" s="4" t="s">
        <v>28</v>
      </c>
      <c r="I250" s="4" t="s">
        <v>29</v>
      </c>
      <c r="J250" s="4" t="s">
        <v>1279</v>
      </c>
      <c r="K250" s="4" t="s">
        <v>122</v>
      </c>
      <c r="L250" s="5">
        <v>45800</v>
      </c>
      <c r="M250" s="4" t="s">
        <v>106</v>
      </c>
      <c r="N250" s="6"/>
      <c r="O250" s="10"/>
      <c r="P250" s="10"/>
      <c r="Q250" s="10"/>
    </row>
    <row r="251" spans="1:17" ht="12.5" x14ac:dyDescent="0.25">
      <c r="A251" s="70">
        <v>45800.032187928242</v>
      </c>
      <c r="B251" s="72" t="s">
        <v>549</v>
      </c>
      <c r="C251" s="72" t="s">
        <v>550</v>
      </c>
      <c r="D251" s="72" t="s">
        <v>551</v>
      </c>
      <c r="E251" s="72">
        <v>182480037</v>
      </c>
      <c r="F251" s="74">
        <v>33903</v>
      </c>
      <c r="G251" s="72" t="s">
        <v>552</v>
      </c>
      <c r="H251" s="72" t="s">
        <v>28</v>
      </c>
      <c r="I251" s="72" t="s">
        <v>29</v>
      </c>
      <c r="J251" s="72" t="s">
        <v>553</v>
      </c>
      <c r="K251" s="72" t="s">
        <v>98</v>
      </c>
      <c r="L251" s="74">
        <v>45800</v>
      </c>
      <c r="M251" s="72" t="s">
        <v>40</v>
      </c>
      <c r="N251" s="89"/>
    </row>
    <row r="252" spans="1:17" ht="12.5" x14ac:dyDescent="0.25">
      <c r="A252" s="68">
        <v>45800.266432129632</v>
      </c>
      <c r="B252" s="4" t="s">
        <v>344</v>
      </c>
      <c r="C252" s="4" t="s">
        <v>705</v>
      </c>
      <c r="D252" s="4" t="s">
        <v>1033</v>
      </c>
      <c r="E252" s="4" t="s">
        <v>1034</v>
      </c>
      <c r="F252" s="5">
        <v>27702</v>
      </c>
      <c r="G252" s="4" t="s">
        <v>1035</v>
      </c>
      <c r="H252" s="4" t="s">
        <v>28</v>
      </c>
      <c r="I252" s="4" t="s">
        <v>29</v>
      </c>
      <c r="J252" s="4" t="s">
        <v>1036</v>
      </c>
      <c r="K252" s="4" t="s">
        <v>31</v>
      </c>
      <c r="L252" s="5">
        <v>45800</v>
      </c>
      <c r="M252" s="4" t="s">
        <v>106</v>
      </c>
      <c r="N252" s="6"/>
    </row>
    <row r="253" spans="1:17" ht="12.5" x14ac:dyDescent="0.25">
      <c r="A253" s="67">
        <v>45800.337053460651</v>
      </c>
      <c r="B253" s="1" t="s">
        <v>67</v>
      </c>
      <c r="C253" s="1" t="s">
        <v>624</v>
      </c>
      <c r="D253" s="1" t="s">
        <v>554</v>
      </c>
      <c r="E253" s="1" t="s">
        <v>625</v>
      </c>
      <c r="F253" s="2">
        <v>33855</v>
      </c>
      <c r="G253" s="1" t="s">
        <v>626</v>
      </c>
      <c r="H253" s="1" t="s">
        <v>28</v>
      </c>
      <c r="I253" s="1" t="s">
        <v>29</v>
      </c>
      <c r="J253" s="1" t="s">
        <v>627</v>
      </c>
      <c r="K253" s="81"/>
      <c r="L253" s="2">
        <v>45798</v>
      </c>
      <c r="M253" s="1" t="s">
        <v>40</v>
      </c>
      <c r="N253" s="3"/>
    </row>
    <row r="254" spans="1:17" ht="12.5" x14ac:dyDescent="0.25">
      <c r="A254" s="68">
        <v>45800.355496701392</v>
      </c>
      <c r="B254" s="4" t="s">
        <v>213</v>
      </c>
      <c r="C254" s="4" t="s">
        <v>252</v>
      </c>
      <c r="D254" s="4" t="s">
        <v>253</v>
      </c>
      <c r="E254" s="4">
        <v>126717792</v>
      </c>
      <c r="F254" s="5">
        <v>27340</v>
      </c>
      <c r="G254" s="4" t="s">
        <v>254</v>
      </c>
      <c r="H254" s="4" t="s">
        <v>28</v>
      </c>
      <c r="I254" s="4" t="s">
        <v>29</v>
      </c>
      <c r="J254" s="4" t="s">
        <v>255</v>
      </c>
      <c r="K254" s="4" t="s">
        <v>98</v>
      </c>
      <c r="L254" s="5">
        <v>45800</v>
      </c>
      <c r="M254" s="4" t="s">
        <v>40</v>
      </c>
      <c r="N254" s="6"/>
    </row>
    <row r="255" spans="1:17" ht="12.5" x14ac:dyDescent="0.25">
      <c r="A255" s="69">
        <v>45800.371372615744</v>
      </c>
      <c r="B255" s="71" t="s">
        <v>741</v>
      </c>
      <c r="C255" s="71" t="s">
        <v>736</v>
      </c>
      <c r="D255" s="71" t="s">
        <v>737</v>
      </c>
      <c r="E255" s="71" t="s">
        <v>742</v>
      </c>
      <c r="F255" s="73">
        <v>35059</v>
      </c>
      <c r="G255" s="71">
        <v>991020736</v>
      </c>
      <c r="H255" s="71" t="s">
        <v>28</v>
      </c>
      <c r="I255" s="71" t="s">
        <v>29</v>
      </c>
      <c r="J255" s="71" t="s">
        <v>743</v>
      </c>
      <c r="K255" s="71" t="s">
        <v>91</v>
      </c>
      <c r="L255" s="73">
        <v>45800</v>
      </c>
      <c r="M255" s="71" t="s">
        <v>40</v>
      </c>
      <c r="N255" s="88"/>
    </row>
    <row r="256" spans="1:17" ht="12.5" x14ac:dyDescent="0.25">
      <c r="A256" s="69">
        <v>45800.378310439817</v>
      </c>
      <c r="B256" s="71" t="s">
        <v>982</v>
      </c>
      <c r="C256" s="71" t="s">
        <v>451</v>
      </c>
      <c r="D256" s="71" t="s">
        <v>617</v>
      </c>
      <c r="E256" s="71">
        <v>220194906</v>
      </c>
      <c r="F256" s="73">
        <v>38728</v>
      </c>
      <c r="G256" s="71">
        <v>52063164</v>
      </c>
      <c r="H256" s="71" t="s">
        <v>19</v>
      </c>
      <c r="I256" s="71" t="s">
        <v>29</v>
      </c>
      <c r="J256" s="71" t="s">
        <v>983</v>
      </c>
      <c r="K256" s="71" t="s">
        <v>66</v>
      </c>
      <c r="L256" s="73">
        <v>45800</v>
      </c>
      <c r="M256" s="71" t="s">
        <v>23</v>
      </c>
      <c r="N256" s="88"/>
    </row>
    <row r="257" spans="1:17" ht="12.5" x14ac:dyDescent="0.25">
      <c r="A257" s="67">
        <v>45800.398527534722</v>
      </c>
      <c r="B257" s="1" t="s">
        <v>195</v>
      </c>
      <c r="C257" s="1" t="s">
        <v>196</v>
      </c>
      <c r="D257" s="1" t="s">
        <v>81</v>
      </c>
      <c r="E257" s="1">
        <v>191624602</v>
      </c>
      <c r="F257" s="2">
        <v>34891</v>
      </c>
      <c r="G257" s="1">
        <v>78584850</v>
      </c>
      <c r="H257" s="1" t="s">
        <v>28</v>
      </c>
      <c r="I257" s="1" t="s">
        <v>29</v>
      </c>
      <c r="J257" s="1" t="s">
        <v>197</v>
      </c>
      <c r="K257" s="1" t="s">
        <v>91</v>
      </c>
      <c r="L257" s="2">
        <v>45800</v>
      </c>
      <c r="M257" s="1" t="s">
        <v>40</v>
      </c>
      <c r="N257" s="3"/>
    </row>
    <row r="258" spans="1:17" ht="12.5" x14ac:dyDescent="0.25">
      <c r="A258" s="68">
        <v>45800.426127141203</v>
      </c>
      <c r="B258" s="4" t="s">
        <v>33</v>
      </c>
      <c r="C258" s="4" t="s">
        <v>34</v>
      </c>
      <c r="D258" s="4" t="s">
        <v>35</v>
      </c>
      <c r="E258" s="4" t="s">
        <v>36</v>
      </c>
      <c r="F258" s="5">
        <v>33167</v>
      </c>
      <c r="G258" s="4" t="s">
        <v>37</v>
      </c>
      <c r="H258" s="4" t="s">
        <v>28</v>
      </c>
      <c r="I258" s="4" t="s">
        <v>38</v>
      </c>
      <c r="J258" s="4" t="s">
        <v>39</v>
      </c>
      <c r="K258" s="4" t="s">
        <v>22</v>
      </c>
      <c r="L258" s="5">
        <v>45800</v>
      </c>
      <c r="M258" s="4" t="s">
        <v>40</v>
      </c>
      <c r="N258" s="6"/>
    </row>
    <row r="259" spans="1:17" ht="12.5" x14ac:dyDescent="0.25">
      <c r="A259" s="70">
        <v>45800.428087731481</v>
      </c>
      <c r="B259" s="72" t="s">
        <v>828</v>
      </c>
      <c r="C259" s="72" t="s">
        <v>829</v>
      </c>
      <c r="D259" s="72" t="s">
        <v>830</v>
      </c>
      <c r="E259" s="72">
        <v>130577083</v>
      </c>
      <c r="F259" s="74">
        <v>28109</v>
      </c>
      <c r="G259" s="72">
        <v>990946980</v>
      </c>
      <c r="H259" s="72" t="s">
        <v>28</v>
      </c>
      <c r="I259" s="72" t="s">
        <v>29</v>
      </c>
      <c r="J259" s="72" t="s">
        <v>831</v>
      </c>
      <c r="K259" s="72" t="s">
        <v>98</v>
      </c>
      <c r="L259" s="74">
        <v>45800</v>
      </c>
      <c r="M259" s="72" t="s">
        <v>40</v>
      </c>
      <c r="N259" s="89"/>
    </row>
    <row r="260" spans="1:17" ht="12.5" x14ac:dyDescent="0.25">
      <c r="A260" s="68">
        <v>45800.437742152775</v>
      </c>
      <c r="B260" s="4" t="s">
        <v>24</v>
      </c>
      <c r="C260" s="4" t="s">
        <v>25</v>
      </c>
      <c r="D260" s="4" t="s">
        <v>26</v>
      </c>
      <c r="E260" s="4">
        <v>107394303</v>
      </c>
      <c r="F260" s="5">
        <v>25774</v>
      </c>
      <c r="G260" s="4" t="s">
        <v>27</v>
      </c>
      <c r="H260" s="4" t="s">
        <v>28</v>
      </c>
      <c r="I260" s="4" t="s">
        <v>29</v>
      </c>
      <c r="J260" s="4" t="s">
        <v>30</v>
      </c>
      <c r="K260" s="4" t="s">
        <v>31</v>
      </c>
      <c r="L260" s="5">
        <v>45800</v>
      </c>
      <c r="M260" s="4" t="s">
        <v>32</v>
      </c>
      <c r="N260" s="6"/>
    </row>
    <row r="261" spans="1:17" ht="12.5" x14ac:dyDescent="0.25">
      <c r="A261" s="67">
        <v>45800.449883738431</v>
      </c>
      <c r="B261" s="1" t="s">
        <v>773</v>
      </c>
      <c r="C261" s="1" t="s">
        <v>1202</v>
      </c>
      <c r="D261" s="1" t="s">
        <v>1203</v>
      </c>
      <c r="E261" s="1" t="s">
        <v>1204</v>
      </c>
      <c r="F261" s="2">
        <v>20096</v>
      </c>
      <c r="G261" s="1">
        <v>951497503</v>
      </c>
      <c r="H261" s="1" t="s">
        <v>28</v>
      </c>
      <c r="I261" s="1" t="s">
        <v>29</v>
      </c>
      <c r="J261" s="1" t="s">
        <v>1205</v>
      </c>
      <c r="K261" s="1" t="s">
        <v>91</v>
      </c>
      <c r="L261" s="2">
        <v>45800</v>
      </c>
      <c r="M261" s="1" t="s">
        <v>106</v>
      </c>
      <c r="N261" s="3"/>
    </row>
    <row r="262" spans="1:17" ht="12.5" x14ac:dyDescent="0.25">
      <c r="A262" s="68">
        <v>45800.451300810186</v>
      </c>
      <c r="B262" s="4" t="s">
        <v>362</v>
      </c>
      <c r="C262" s="4" t="s">
        <v>363</v>
      </c>
      <c r="D262" s="4" t="s">
        <v>262</v>
      </c>
      <c r="E262" s="4">
        <v>173853459</v>
      </c>
      <c r="F262" s="5">
        <v>33024</v>
      </c>
      <c r="G262" s="4">
        <v>963169521</v>
      </c>
      <c r="H262" s="75" t="s">
        <v>1830</v>
      </c>
      <c r="I262" s="4" t="s">
        <v>29</v>
      </c>
      <c r="J262" s="4" t="s">
        <v>361</v>
      </c>
      <c r="L262" s="63">
        <v>45801</v>
      </c>
      <c r="N262" s="77"/>
    </row>
    <row r="263" spans="1:17" ht="12.5" x14ac:dyDescent="0.25">
      <c r="A263" s="67">
        <v>45800.455600937501</v>
      </c>
      <c r="B263" s="1" t="s">
        <v>176</v>
      </c>
      <c r="C263" s="1" t="s">
        <v>177</v>
      </c>
      <c r="D263" s="1" t="s">
        <v>42</v>
      </c>
      <c r="E263" s="1" t="s">
        <v>178</v>
      </c>
      <c r="F263" s="2">
        <v>25150</v>
      </c>
      <c r="G263" s="1">
        <v>93437625</v>
      </c>
      <c r="H263" s="1" t="s">
        <v>78</v>
      </c>
      <c r="I263" s="1" t="s">
        <v>29</v>
      </c>
      <c r="J263" s="1" t="s">
        <v>179</v>
      </c>
      <c r="K263" s="1" t="s">
        <v>98</v>
      </c>
      <c r="L263" s="2">
        <v>45799</v>
      </c>
      <c r="M263" s="1" t="s">
        <v>40</v>
      </c>
      <c r="N263" s="3"/>
    </row>
    <row r="264" spans="1:17" ht="12.5" x14ac:dyDescent="0.25">
      <c r="A264" s="68">
        <v>45800.467170601856</v>
      </c>
      <c r="B264" s="4" t="s">
        <v>724</v>
      </c>
      <c r="C264" s="4" t="s">
        <v>725</v>
      </c>
      <c r="D264" s="4" t="s">
        <v>726</v>
      </c>
      <c r="E264" s="4" t="s">
        <v>727</v>
      </c>
      <c r="F264" s="5">
        <v>33137</v>
      </c>
      <c r="G264" s="4" t="s">
        <v>728</v>
      </c>
      <c r="H264" s="4" t="s">
        <v>28</v>
      </c>
      <c r="I264" s="4" t="s">
        <v>29</v>
      </c>
      <c r="J264" s="4" t="s">
        <v>729</v>
      </c>
      <c r="K264" s="4" t="s">
        <v>98</v>
      </c>
      <c r="L264" s="5">
        <v>45799</v>
      </c>
      <c r="M264" s="4" t="s">
        <v>106</v>
      </c>
      <c r="N264" s="6"/>
    </row>
    <row r="265" spans="1:17" ht="12.5" x14ac:dyDescent="0.25">
      <c r="A265" s="70">
        <v>45800.481126967592</v>
      </c>
      <c r="B265" s="72" t="s">
        <v>1082</v>
      </c>
      <c r="C265" s="72" t="s">
        <v>1083</v>
      </c>
      <c r="D265" s="72" t="s">
        <v>1084</v>
      </c>
      <c r="E265" s="72" t="s">
        <v>1085</v>
      </c>
      <c r="F265" s="74">
        <v>32576</v>
      </c>
      <c r="G265" s="72" t="s">
        <v>1086</v>
      </c>
      <c r="H265" s="72" t="s">
        <v>28</v>
      </c>
      <c r="I265" s="72" t="s">
        <v>29</v>
      </c>
      <c r="J265" s="72" t="s">
        <v>1087</v>
      </c>
      <c r="K265" s="72" t="s">
        <v>98</v>
      </c>
      <c r="L265" s="74">
        <v>45800</v>
      </c>
      <c r="M265" s="72" t="s">
        <v>106</v>
      </c>
      <c r="N265" s="89"/>
    </row>
    <row r="266" spans="1:17" ht="12.5" x14ac:dyDescent="0.25">
      <c r="A266" s="70">
        <v>45800.482317349539</v>
      </c>
      <c r="B266" s="72" t="s">
        <v>433</v>
      </c>
      <c r="C266" s="72" t="s">
        <v>1104</v>
      </c>
      <c r="D266" s="72" t="s">
        <v>1105</v>
      </c>
      <c r="E266" s="72">
        <v>142466287</v>
      </c>
      <c r="F266" s="74">
        <v>27279</v>
      </c>
      <c r="G266" s="72">
        <v>77069621</v>
      </c>
      <c r="H266" s="72" t="s">
        <v>78</v>
      </c>
      <c r="I266" s="72" t="s">
        <v>38</v>
      </c>
      <c r="J266" s="72" t="s">
        <v>1106</v>
      </c>
      <c r="K266" s="72" t="s">
        <v>1107</v>
      </c>
      <c r="L266" s="74">
        <v>45800</v>
      </c>
      <c r="M266" s="72" t="s">
        <v>106</v>
      </c>
      <c r="N266" s="89"/>
    </row>
    <row r="267" spans="1:17" ht="12.5" x14ac:dyDescent="0.25">
      <c r="A267" s="67">
        <v>45800.482563136575</v>
      </c>
      <c r="B267" s="1" t="s">
        <v>265</v>
      </c>
      <c r="C267" s="1" t="s">
        <v>266</v>
      </c>
      <c r="D267" s="1" t="s">
        <v>267</v>
      </c>
      <c r="E267" s="1" t="s">
        <v>268</v>
      </c>
      <c r="F267" s="2">
        <v>32826</v>
      </c>
      <c r="G267" s="1">
        <v>930974006</v>
      </c>
      <c r="H267" s="1" t="s">
        <v>28</v>
      </c>
      <c r="I267" s="1" t="s">
        <v>29</v>
      </c>
      <c r="J267" s="1" t="s">
        <v>269</v>
      </c>
      <c r="K267" s="1" t="s">
        <v>98</v>
      </c>
      <c r="L267" s="2">
        <v>45800</v>
      </c>
      <c r="M267" s="1" t="s">
        <v>106</v>
      </c>
      <c r="N267" s="3"/>
    </row>
    <row r="268" spans="1:17" ht="12.5" x14ac:dyDescent="0.25">
      <c r="A268" s="68">
        <v>45800.498235868057</v>
      </c>
      <c r="B268" s="4" t="s">
        <v>832</v>
      </c>
      <c r="C268" s="4" t="s">
        <v>829</v>
      </c>
      <c r="D268" s="4" t="s">
        <v>16</v>
      </c>
      <c r="E268" s="4" t="s">
        <v>833</v>
      </c>
      <c r="F268" s="5">
        <v>40878</v>
      </c>
      <c r="G268" s="4">
        <v>990946980</v>
      </c>
      <c r="H268" s="4" t="s">
        <v>19</v>
      </c>
      <c r="I268" s="4" t="s">
        <v>29</v>
      </c>
      <c r="J268" s="4" t="s">
        <v>834</v>
      </c>
      <c r="K268" s="77" t="s">
        <v>66</v>
      </c>
      <c r="L268" s="83">
        <v>45800</v>
      </c>
      <c r="M268" s="77" t="s">
        <v>106</v>
      </c>
      <c r="N268" s="77"/>
    </row>
    <row r="269" spans="1:17" ht="12.5" x14ac:dyDescent="0.25">
      <c r="A269" s="67">
        <v>45800.498405428239</v>
      </c>
      <c r="B269" s="1" t="s">
        <v>872</v>
      </c>
      <c r="C269" s="1" t="s">
        <v>873</v>
      </c>
      <c r="D269" s="1" t="s">
        <v>874</v>
      </c>
      <c r="E269" s="1">
        <v>107819916</v>
      </c>
      <c r="F269" s="2">
        <v>24518</v>
      </c>
      <c r="G269" s="1">
        <v>977660292</v>
      </c>
      <c r="H269" s="1" t="s">
        <v>28</v>
      </c>
      <c r="I269" s="1" t="s">
        <v>29</v>
      </c>
      <c r="J269" s="1" t="s">
        <v>875</v>
      </c>
      <c r="K269" s="1"/>
      <c r="L269" s="2">
        <v>45801</v>
      </c>
      <c r="M269" s="1"/>
      <c r="N269" s="3"/>
    </row>
    <row r="270" spans="1:17" ht="12.5" x14ac:dyDescent="0.25">
      <c r="A270" s="68">
        <v>45800.52920675926</v>
      </c>
      <c r="B270" s="4" t="s">
        <v>329</v>
      </c>
      <c r="C270" s="4" t="s">
        <v>320</v>
      </c>
      <c r="D270" s="4" t="s">
        <v>326</v>
      </c>
      <c r="E270" s="4" t="s">
        <v>330</v>
      </c>
      <c r="F270" s="5">
        <v>37244</v>
      </c>
      <c r="G270" s="4" t="s">
        <v>331</v>
      </c>
      <c r="H270" s="4" t="s">
        <v>19</v>
      </c>
      <c r="I270" s="4" t="s">
        <v>29</v>
      </c>
      <c r="J270" s="4" t="s">
        <v>332</v>
      </c>
      <c r="K270" s="4" t="s">
        <v>66</v>
      </c>
      <c r="L270" s="5">
        <v>45800</v>
      </c>
      <c r="M270" s="4" t="s">
        <v>106</v>
      </c>
      <c r="N270" s="6"/>
    </row>
    <row r="271" spans="1:17" ht="12.5" x14ac:dyDescent="0.25">
      <c r="A271" s="67">
        <v>45800.529544756944</v>
      </c>
      <c r="B271" s="1" t="s">
        <v>650</v>
      </c>
      <c r="C271" s="1" t="s">
        <v>651</v>
      </c>
      <c r="D271" s="1" t="s">
        <v>652</v>
      </c>
      <c r="E271" s="1" t="s">
        <v>653</v>
      </c>
      <c r="F271" s="2">
        <v>24799</v>
      </c>
      <c r="G271" s="1" t="s">
        <v>654</v>
      </c>
      <c r="H271" s="1" t="s">
        <v>28</v>
      </c>
      <c r="I271" s="1" t="s">
        <v>29</v>
      </c>
      <c r="J271" s="1" t="s">
        <v>655</v>
      </c>
      <c r="K271" s="1" t="s">
        <v>91</v>
      </c>
      <c r="L271" s="2">
        <v>45800</v>
      </c>
      <c r="M271" s="1" t="s">
        <v>32</v>
      </c>
      <c r="N271" s="3" t="s">
        <v>141</v>
      </c>
      <c r="O271" s="10"/>
      <c r="P271" s="10"/>
      <c r="Q271" s="10"/>
    </row>
    <row r="272" spans="1:17" ht="12.5" x14ac:dyDescent="0.25">
      <c r="A272" s="68">
        <v>45800.559768611114</v>
      </c>
      <c r="B272" s="4" t="s">
        <v>805</v>
      </c>
      <c r="C272" s="4" t="s">
        <v>897</v>
      </c>
      <c r="D272" s="4" t="s">
        <v>219</v>
      </c>
      <c r="E272" s="4" t="s">
        <v>902</v>
      </c>
      <c r="F272" s="5">
        <v>27676</v>
      </c>
      <c r="G272" s="4" t="s">
        <v>900</v>
      </c>
      <c r="H272" s="4" t="s">
        <v>78</v>
      </c>
      <c r="I272" s="4" t="s">
        <v>29</v>
      </c>
      <c r="J272" s="4" t="s">
        <v>901</v>
      </c>
      <c r="K272" s="4" t="s">
        <v>22</v>
      </c>
      <c r="L272" s="5">
        <v>45800</v>
      </c>
      <c r="M272" s="4" t="s">
        <v>106</v>
      </c>
      <c r="N272" s="6"/>
      <c r="O272" s="10"/>
      <c r="P272" s="10"/>
      <c r="Q272" s="10"/>
    </row>
    <row r="273" spans="1:17" ht="12.5" x14ac:dyDescent="0.25">
      <c r="A273" s="67">
        <v>45800.590282268517</v>
      </c>
      <c r="B273" s="1" t="s">
        <v>107</v>
      </c>
      <c r="C273" s="1" t="s">
        <v>108</v>
      </c>
      <c r="D273" s="1" t="s">
        <v>109</v>
      </c>
      <c r="E273" s="1" t="s">
        <v>110</v>
      </c>
      <c r="F273" s="2">
        <v>26388</v>
      </c>
      <c r="G273" s="1">
        <v>981212744</v>
      </c>
      <c r="H273" s="1" t="s">
        <v>28</v>
      </c>
      <c r="I273" s="1" t="s">
        <v>29</v>
      </c>
      <c r="J273" s="1" t="s">
        <v>111</v>
      </c>
      <c r="N273" s="77"/>
    </row>
    <row r="274" spans="1:17" ht="12.5" x14ac:dyDescent="0.25">
      <c r="A274" s="70">
        <v>45800.626843217593</v>
      </c>
      <c r="B274" s="72" t="s">
        <v>217</v>
      </c>
      <c r="C274" s="72" t="s">
        <v>218</v>
      </c>
      <c r="D274" s="72" t="s">
        <v>219</v>
      </c>
      <c r="E274" s="72" t="s">
        <v>220</v>
      </c>
      <c r="F274" s="74" t="s">
        <v>221</v>
      </c>
      <c r="G274" s="72" t="s">
        <v>222</v>
      </c>
      <c r="H274" s="72" t="s">
        <v>28</v>
      </c>
      <c r="I274" s="72" t="s">
        <v>29</v>
      </c>
      <c r="J274" s="72" t="s">
        <v>223</v>
      </c>
      <c r="K274" s="72" t="s">
        <v>53</v>
      </c>
      <c r="L274" s="74">
        <v>45800</v>
      </c>
      <c r="M274" s="72" t="s">
        <v>106</v>
      </c>
      <c r="N274" s="89"/>
      <c r="O274" s="10"/>
      <c r="P274" s="10"/>
      <c r="Q274" s="10"/>
    </row>
    <row r="275" spans="1:17" ht="12.5" x14ac:dyDescent="0.25">
      <c r="A275" s="67">
        <v>45800.633307800927</v>
      </c>
      <c r="B275" s="1" t="s">
        <v>99</v>
      </c>
      <c r="C275" s="1" t="s">
        <v>100</v>
      </c>
      <c r="D275" s="1" t="s">
        <v>101</v>
      </c>
      <c r="E275" s="1" t="s">
        <v>102</v>
      </c>
      <c r="F275" s="2" t="s">
        <v>103</v>
      </c>
      <c r="G275" s="1" t="s">
        <v>104</v>
      </c>
      <c r="H275" s="1" t="s">
        <v>28</v>
      </c>
      <c r="I275" s="1" t="s">
        <v>29</v>
      </c>
      <c r="J275" s="1" t="s">
        <v>105</v>
      </c>
      <c r="K275" s="1" t="s">
        <v>53</v>
      </c>
      <c r="L275" s="2">
        <v>45800</v>
      </c>
      <c r="M275" s="1" t="s">
        <v>106</v>
      </c>
      <c r="N275" s="3"/>
    </row>
    <row r="276" spans="1:17" ht="12.5" x14ac:dyDescent="0.25">
      <c r="A276" s="68">
        <v>45800.637535196758</v>
      </c>
      <c r="B276" s="4" t="s">
        <v>351</v>
      </c>
      <c r="C276" s="4" t="s">
        <v>352</v>
      </c>
      <c r="D276" s="4" t="s">
        <v>353</v>
      </c>
      <c r="E276" s="4" t="s">
        <v>354</v>
      </c>
      <c r="F276" s="5">
        <v>32335</v>
      </c>
      <c r="G276" s="4" t="s">
        <v>355</v>
      </c>
      <c r="H276" s="4" t="s">
        <v>78</v>
      </c>
      <c r="I276" s="4" t="s">
        <v>38</v>
      </c>
      <c r="J276" s="4" t="s">
        <v>356</v>
      </c>
      <c r="K276" s="4" t="s">
        <v>22</v>
      </c>
      <c r="L276" s="5">
        <v>45800</v>
      </c>
      <c r="M276" s="4" t="s">
        <v>106</v>
      </c>
      <c r="N276" s="6"/>
    </row>
    <row r="277" spans="1:17" ht="12.5" x14ac:dyDescent="0.25">
      <c r="A277" s="67">
        <v>45800.646752546294</v>
      </c>
      <c r="B277" s="1" t="s">
        <v>1432</v>
      </c>
      <c r="C277" s="1" t="s">
        <v>540</v>
      </c>
      <c r="D277" s="1" t="s">
        <v>316</v>
      </c>
      <c r="E277" s="1" t="s">
        <v>1433</v>
      </c>
      <c r="F277" s="2">
        <v>31815</v>
      </c>
      <c r="G277" s="1" t="s">
        <v>1434</v>
      </c>
      <c r="H277" s="1" t="s">
        <v>28</v>
      </c>
      <c r="I277" s="1" t="s">
        <v>38</v>
      </c>
      <c r="J277" s="1" t="s">
        <v>1435</v>
      </c>
      <c r="K277" s="76" t="s">
        <v>458</v>
      </c>
      <c r="L277" s="104">
        <v>45801</v>
      </c>
      <c r="M277" s="81"/>
      <c r="N277" s="3"/>
    </row>
    <row r="278" spans="1:17" ht="12.5" x14ac:dyDescent="0.25">
      <c r="A278" s="68">
        <v>45800.648500219904</v>
      </c>
      <c r="B278" s="4" t="s">
        <v>984</v>
      </c>
      <c r="C278" s="4" t="s">
        <v>451</v>
      </c>
      <c r="D278" s="4" t="s">
        <v>985</v>
      </c>
      <c r="E278" s="4" t="s">
        <v>986</v>
      </c>
      <c r="F278" s="5">
        <v>39805</v>
      </c>
      <c r="G278" s="4">
        <v>82196968</v>
      </c>
      <c r="H278" s="4" t="s">
        <v>19</v>
      </c>
      <c r="I278" s="4" t="s">
        <v>29</v>
      </c>
      <c r="J278" s="4" t="s">
        <v>987</v>
      </c>
      <c r="K278" s="4" t="s">
        <v>66</v>
      </c>
      <c r="L278" s="5">
        <v>45800</v>
      </c>
      <c r="M278" s="4" t="s">
        <v>32</v>
      </c>
      <c r="N278" s="6"/>
    </row>
    <row r="279" spans="1:17" ht="12.5" x14ac:dyDescent="0.25">
      <c r="A279" s="67">
        <v>45800.648630671298</v>
      </c>
      <c r="B279" s="1" t="s">
        <v>808</v>
      </c>
      <c r="C279" s="1" t="s">
        <v>809</v>
      </c>
      <c r="D279" s="1" t="s">
        <v>810</v>
      </c>
      <c r="E279" s="1">
        <v>256578549</v>
      </c>
      <c r="F279" s="2">
        <v>32696</v>
      </c>
      <c r="G279" s="1" t="s">
        <v>811</v>
      </c>
      <c r="H279" s="1" t="s">
        <v>28</v>
      </c>
      <c r="I279" s="1" t="s">
        <v>29</v>
      </c>
      <c r="J279" s="1" t="s">
        <v>812</v>
      </c>
      <c r="K279" s="1" t="s">
        <v>98</v>
      </c>
      <c r="L279" s="2">
        <v>45800</v>
      </c>
      <c r="M279" s="1" t="s">
        <v>106</v>
      </c>
      <c r="N279" s="3"/>
    </row>
    <row r="280" spans="1:17" ht="12.5" x14ac:dyDescent="0.25">
      <c r="A280" s="68">
        <v>45800.66885721065</v>
      </c>
      <c r="B280" s="4" t="s">
        <v>1141</v>
      </c>
      <c r="C280" s="4" t="s">
        <v>617</v>
      </c>
      <c r="D280" s="4" t="s">
        <v>1142</v>
      </c>
      <c r="E280" s="4">
        <v>193167772</v>
      </c>
      <c r="F280" s="5">
        <v>34988</v>
      </c>
      <c r="G280" s="4" t="s">
        <v>1143</v>
      </c>
      <c r="H280" s="4" t="s">
        <v>28</v>
      </c>
      <c r="I280" s="4" t="s">
        <v>29</v>
      </c>
      <c r="J280" s="4" t="s">
        <v>1144</v>
      </c>
      <c r="K280" s="77" t="s">
        <v>98</v>
      </c>
      <c r="L280" s="83">
        <v>45800</v>
      </c>
      <c r="M280" s="77" t="s">
        <v>106</v>
      </c>
      <c r="N280" s="77"/>
    </row>
    <row r="281" spans="1:17" ht="12.5" x14ac:dyDescent="0.25">
      <c r="A281" s="67">
        <v>45800.669481597222</v>
      </c>
      <c r="B281" s="1" t="s">
        <v>1173</v>
      </c>
      <c r="C281" s="1" t="s">
        <v>1168</v>
      </c>
      <c r="D281" s="1" t="s">
        <v>1174</v>
      </c>
      <c r="E281" s="1">
        <v>189258240</v>
      </c>
      <c r="F281" s="2">
        <v>34585</v>
      </c>
      <c r="G281" s="1" t="s">
        <v>1143</v>
      </c>
      <c r="H281" s="1" t="s">
        <v>28</v>
      </c>
      <c r="I281" s="1" t="s">
        <v>29</v>
      </c>
      <c r="J281" s="1" t="s">
        <v>1144</v>
      </c>
      <c r="K281" s="1" t="s">
        <v>91</v>
      </c>
      <c r="L281" s="2">
        <v>45800</v>
      </c>
      <c r="M281" s="1" t="s">
        <v>106</v>
      </c>
      <c r="N281" s="3" t="s">
        <v>141</v>
      </c>
    </row>
    <row r="282" spans="1:17" ht="12.5" x14ac:dyDescent="0.25">
      <c r="A282" s="68">
        <v>45800.697593275458</v>
      </c>
      <c r="B282" s="4" t="s">
        <v>1088</v>
      </c>
      <c r="C282" s="4" t="s">
        <v>16</v>
      </c>
      <c r="D282" s="4" t="s">
        <v>1341</v>
      </c>
      <c r="E282" s="4">
        <v>101601579</v>
      </c>
      <c r="F282" s="5">
        <v>24119</v>
      </c>
      <c r="G282" s="4" t="s">
        <v>1342</v>
      </c>
      <c r="H282" s="4" t="s">
        <v>28</v>
      </c>
      <c r="I282" s="4" t="s">
        <v>29</v>
      </c>
      <c r="J282" s="4" t="s">
        <v>1343</v>
      </c>
      <c r="K282" s="4" t="s">
        <v>53</v>
      </c>
      <c r="L282" s="5">
        <v>45435</v>
      </c>
      <c r="M282" s="4" t="s">
        <v>32</v>
      </c>
      <c r="N282" s="6"/>
    </row>
    <row r="283" spans="1:17" ht="12.5" x14ac:dyDescent="0.25">
      <c r="A283" s="67">
        <v>45800.699031168981</v>
      </c>
      <c r="B283" s="1" t="s">
        <v>410</v>
      </c>
      <c r="C283" s="1" t="s">
        <v>411</v>
      </c>
      <c r="D283" s="1" t="s">
        <v>412</v>
      </c>
      <c r="E283" s="1">
        <v>85469983</v>
      </c>
      <c r="F283" s="2" t="s">
        <v>413</v>
      </c>
      <c r="G283" s="1" t="s">
        <v>414</v>
      </c>
      <c r="H283" s="1" t="s">
        <v>28</v>
      </c>
      <c r="I283" s="1" t="s">
        <v>38</v>
      </c>
      <c r="J283" s="1" t="s">
        <v>415</v>
      </c>
      <c r="K283" s="1" t="s">
        <v>22</v>
      </c>
      <c r="L283" s="83">
        <v>45800</v>
      </c>
      <c r="M283" s="77" t="s">
        <v>106</v>
      </c>
      <c r="N283" s="3"/>
    </row>
    <row r="284" spans="1:17" ht="12.5" x14ac:dyDescent="0.25">
      <c r="A284" s="68">
        <v>45800.70426027778</v>
      </c>
      <c r="B284" s="4" t="s">
        <v>265</v>
      </c>
      <c r="C284" s="4" t="s">
        <v>1462</v>
      </c>
      <c r="D284" s="4" t="s">
        <v>16</v>
      </c>
      <c r="E284" s="4">
        <v>233103616</v>
      </c>
      <c r="F284" s="5">
        <v>40298</v>
      </c>
      <c r="G284" s="4" t="s">
        <v>1342</v>
      </c>
      <c r="H284" s="4" t="s">
        <v>19</v>
      </c>
      <c r="I284" s="4" t="s">
        <v>29</v>
      </c>
      <c r="J284" s="4" t="s">
        <v>1463</v>
      </c>
      <c r="K284" s="4" t="s">
        <v>66</v>
      </c>
      <c r="L284" s="5">
        <v>45800</v>
      </c>
      <c r="M284" s="4" t="s">
        <v>106</v>
      </c>
      <c r="N284" s="6"/>
    </row>
    <row r="285" spans="1:17" ht="12.5" x14ac:dyDescent="0.25">
      <c r="A285" s="68">
        <v>45800.729301122687</v>
      </c>
      <c r="B285" s="4" t="s">
        <v>1121</v>
      </c>
      <c r="C285" s="4" t="s">
        <v>1122</v>
      </c>
      <c r="D285" s="4" t="s">
        <v>1123</v>
      </c>
      <c r="E285" s="4">
        <v>179501783</v>
      </c>
      <c r="F285" s="5">
        <v>29028</v>
      </c>
      <c r="G285" s="4" t="s">
        <v>1124</v>
      </c>
      <c r="H285" s="4" t="s">
        <v>28</v>
      </c>
      <c r="I285" s="4" t="s">
        <v>29</v>
      </c>
      <c r="J285" s="4" t="s">
        <v>1125</v>
      </c>
      <c r="K285" s="4" t="s">
        <v>98</v>
      </c>
      <c r="L285" s="83">
        <v>45800</v>
      </c>
      <c r="M285" s="77" t="s">
        <v>106</v>
      </c>
      <c r="N285" s="6"/>
    </row>
    <row r="286" spans="1:17" ht="12.5" x14ac:dyDescent="0.25">
      <c r="A286" s="67">
        <v>45800.74503258102</v>
      </c>
      <c r="B286" s="1" t="s">
        <v>816</v>
      </c>
      <c r="C286" s="1" t="s">
        <v>809</v>
      </c>
      <c r="D286" s="1" t="s">
        <v>817</v>
      </c>
      <c r="E286" s="1">
        <v>106638802</v>
      </c>
      <c r="F286" s="2">
        <v>27310</v>
      </c>
      <c r="G286" s="1">
        <v>66091977</v>
      </c>
      <c r="H286" s="1" t="s">
        <v>28</v>
      </c>
      <c r="I286" s="1" t="s">
        <v>29</v>
      </c>
      <c r="J286" s="1" t="s">
        <v>815</v>
      </c>
      <c r="K286" s="1" t="s">
        <v>98</v>
      </c>
      <c r="L286" s="2">
        <v>45800</v>
      </c>
      <c r="M286" s="1" t="s">
        <v>23</v>
      </c>
      <c r="N286" s="3"/>
    </row>
    <row r="287" spans="1:17" ht="12.5" x14ac:dyDescent="0.25">
      <c r="A287" s="68">
        <v>45800.748924166663</v>
      </c>
      <c r="B287" s="4" t="s">
        <v>813</v>
      </c>
      <c r="C287" s="4" t="s">
        <v>809</v>
      </c>
      <c r="D287" s="4" t="s">
        <v>814</v>
      </c>
      <c r="E287" s="4">
        <v>208459821</v>
      </c>
      <c r="F287" s="5">
        <v>37143</v>
      </c>
      <c r="G287" s="4">
        <v>66091977</v>
      </c>
      <c r="H287" s="4" t="s">
        <v>19</v>
      </c>
      <c r="I287" s="4" t="s">
        <v>29</v>
      </c>
      <c r="J287" s="4" t="s">
        <v>815</v>
      </c>
      <c r="K287" s="4" t="s">
        <v>66</v>
      </c>
      <c r="L287" s="5">
        <v>45800</v>
      </c>
      <c r="M287" s="4" t="s">
        <v>23</v>
      </c>
      <c r="N287" s="6"/>
    </row>
    <row r="288" spans="1:17" ht="12.5" x14ac:dyDescent="0.25">
      <c r="A288" s="67">
        <v>45800.755528796297</v>
      </c>
      <c r="B288" s="1" t="s">
        <v>1175</v>
      </c>
      <c r="C288" s="1" t="s">
        <v>785</v>
      </c>
      <c r="D288" s="1" t="s">
        <v>1176</v>
      </c>
      <c r="E288" s="1" t="s">
        <v>1177</v>
      </c>
      <c r="F288" s="2">
        <v>25390</v>
      </c>
      <c r="G288" s="1" t="s">
        <v>1178</v>
      </c>
      <c r="H288" s="1" t="s">
        <v>19</v>
      </c>
      <c r="I288" s="1" t="s">
        <v>29</v>
      </c>
      <c r="J288" s="1" t="s">
        <v>1179</v>
      </c>
      <c r="K288" s="1" t="s">
        <v>98</v>
      </c>
      <c r="L288" s="2">
        <v>45800</v>
      </c>
      <c r="M288" s="1" t="s">
        <v>32</v>
      </c>
      <c r="N288" s="3"/>
    </row>
    <row r="289" spans="1:17" ht="12.5" x14ac:dyDescent="0.25">
      <c r="A289" s="68">
        <v>45800.757979999995</v>
      </c>
      <c r="B289" s="4" t="s">
        <v>602</v>
      </c>
      <c r="C289" s="4" t="s">
        <v>594</v>
      </c>
      <c r="D289" s="4" t="s">
        <v>603</v>
      </c>
      <c r="E289" s="4" t="s">
        <v>604</v>
      </c>
      <c r="F289" s="5">
        <v>37537</v>
      </c>
      <c r="G289" s="4" t="s">
        <v>605</v>
      </c>
      <c r="H289" s="4" t="s">
        <v>19</v>
      </c>
      <c r="I289" s="4" t="s">
        <v>29</v>
      </c>
      <c r="J289" s="4" t="s">
        <v>606</v>
      </c>
      <c r="K289" s="77" t="s">
        <v>66</v>
      </c>
      <c r="L289" s="13">
        <v>45800</v>
      </c>
      <c r="M289" s="4" t="s">
        <v>32</v>
      </c>
      <c r="N289" s="6"/>
      <c r="O289" s="10"/>
      <c r="P289" s="10"/>
      <c r="Q289" s="10"/>
    </row>
    <row r="290" spans="1:17" ht="12.5" x14ac:dyDescent="0.25">
      <c r="A290" s="67">
        <v>45800.772004479164</v>
      </c>
      <c r="B290" s="1" t="s">
        <v>416</v>
      </c>
      <c r="C290" s="1" t="s">
        <v>417</v>
      </c>
      <c r="D290" s="1" t="s">
        <v>418</v>
      </c>
      <c r="E290" s="1">
        <v>260927361</v>
      </c>
      <c r="F290" s="2">
        <v>33380</v>
      </c>
      <c r="G290" s="1" t="s">
        <v>419</v>
      </c>
      <c r="H290" s="1" t="s">
        <v>78</v>
      </c>
      <c r="I290" s="1" t="s">
        <v>420</v>
      </c>
      <c r="J290" s="1" t="s">
        <v>421</v>
      </c>
      <c r="K290" s="1" t="s">
        <v>22</v>
      </c>
      <c r="L290" s="2">
        <v>45800</v>
      </c>
      <c r="M290" s="1" t="s">
        <v>23</v>
      </c>
      <c r="N290" s="3"/>
    </row>
    <row r="291" spans="1:17" ht="12.5" x14ac:dyDescent="0.25">
      <c r="A291" s="70">
        <v>45800.780900196754</v>
      </c>
      <c r="B291" s="72" t="s">
        <v>708</v>
      </c>
      <c r="C291" s="72" t="s">
        <v>709</v>
      </c>
      <c r="D291" s="72" t="s">
        <v>710</v>
      </c>
      <c r="E291" s="72" t="s">
        <v>711</v>
      </c>
      <c r="F291" s="74">
        <v>18161</v>
      </c>
      <c r="G291" s="72">
        <v>974542352</v>
      </c>
      <c r="H291" s="72" t="s">
        <v>28</v>
      </c>
      <c r="I291" s="72" t="s">
        <v>29</v>
      </c>
      <c r="J291" s="72" t="s">
        <v>712</v>
      </c>
      <c r="K291" s="82" t="s">
        <v>31</v>
      </c>
      <c r="L291" s="87">
        <v>45801</v>
      </c>
      <c r="M291" s="78"/>
      <c r="N291" s="89"/>
    </row>
    <row r="292" spans="1:17" ht="12.5" x14ac:dyDescent="0.25">
      <c r="A292" s="67">
        <v>45800.788100219906</v>
      </c>
      <c r="B292" s="1" t="s">
        <v>1180</v>
      </c>
      <c r="C292" s="1" t="s">
        <v>1181</v>
      </c>
      <c r="D292" s="1" t="s">
        <v>1181</v>
      </c>
      <c r="E292" s="1" t="s">
        <v>1182</v>
      </c>
      <c r="F292" s="2">
        <v>21409</v>
      </c>
      <c r="G292" s="1" t="s">
        <v>1155</v>
      </c>
      <c r="H292" s="1" t="s">
        <v>78</v>
      </c>
      <c r="I292" s="1" t="s">
        <v>29</v>
      </c>
      <c r="J292" s="1" t="s">
        <v>1183</v>
      </c>
      <c r="K292" s="64" t="s">
        <v>22</v>
      </c>
      <c r="L292" s="2">
        <v>45800</v>
      </c>
      <c r="M292" s="1"/>
      <c r="N292" s="3"/>
    </row>
    <row r="293" spans="1:17" ht="12.5" x14ac:dyDescent="0.25">
      <c r="A293" s="68">
        <v>45800.789330324071</v>
      </c>
      <c r="B293" s="4" t="s">
        <v>1184</v>
      </c>
      <c r="C293" s="4" t="s">
        <v>1185</v>
      </c>
      <c r="D293" s="4" t="s">
        <v>1186</v>
      </c>
      <c r="E293" s="4" t="s">
        <v>1187</v>
      </c>
      <c r="F293" s="5">
        <v>32909</v>
      </c>
      <c r="G293" s="4" t="s">
        <v>1155</v>
      </c>
      <c r="H293" s="4" t="s">
        <v>78</v>
      </c>
      <c r="I293" s="4" t="s">
        <v>29</v>
      </c>
      <c r="J293" s="4" t="s">
        <v>1188</v>
      </c>
      <c r="K293" s="75" t="s">
        <v>22</v>
      </c>
      <c r="L293" s="5">
        <v>45800</v>
      </c>
      <c r="M293" s="4"/>
      <c r="N293" s="6"/>
    </row>
    <row r="294" spans="1:17" ht="12.5" x14ac:dyDescent="0.25">
      <c r="A294" s="67">
        <v>45800.793696307868</v>
      </c>
      <c r="B294" s="1" t="s">
        <v>1375</v>
      </c>
      <c r="C294" s="1" t="s">
        <v>487</v>
      </c>
      <c r="D294" s="1" t="s">
        <v>1376</v>
      </c>
      <c r="E294" s="1" t="s">
        <v>1377</v>
      </c>
      <c r="F294" s="2">
        <v>40522</v>
      </c>
      <c r="G294" s="1" t="s">
        <v>1378</v>
      </c>
      <c r="H294" s="1" t="s">
        <v>19</v>
      </c>
      <c r="I294" s="1" t="s">
        <v>29</v>
      </c>
      <c r="J294" s="1" t="s">
        <v>1379</v>
      </c>
      <c r="K294" s="1" t="s">
        <v>98</v>
      </c>
      <c r="L294" s="2">
        <v>45800</v>
      </c>
      <c r="M294" s="1" t="s">
        <v>23</v>
      </c>
      <c r="N294" s="3"/>
    </row>
    <row r="295" spans="1:17" ht="12.5" x14ac:dyDescent="0.25">
      <c r="A295" s="68">
        <v>45800.801014363431</v>
      </c>
      <c r="B295" s="4" t="s">
        <v>183</v>
      </c>
      <c r="C295" s="4" t="s">
        <v>184</v>
      </c>
      <c r="D295" s="4" t="s">
        <v>185</v>
      </c>
      <c r="E295" s="4" t="s">
        <v>186</v>
      </c>
      <c r="F295" s="5">
        <v>24382</v>
      </c>
      <c r="G295" s="4" t="s">
        <v>187</v>
      </c>
      <c r="H295" s="4" t="s">
        <v>28</v>
      </c>
      <c r="I295" s="4" t="s">
        <v>29</v>
      </c>
      <c r="J295" s="4" t="s">
        <v>188</v>
      </c>
      <c r="K295" s="4" t="s">
        <v>91</v>
      </c>
      <c r="L295" s="5">
        <v>45800</v>
      </c>
      <c r="M295" s="4" t="s">
        <v>32</v>
      </c>
      <c r="N295" s="6"/>
    </row>
    <row r="296" spans="1:17" ht="12.5" x14ac:dyDescent="0.25">
      <c r="A296" s="67">
        <v>45800.805912986107</v>
      </c>
      <c r="B296" s="1" t="s">
        <v>395</v>
      </c>
      <c r="C296" s="1" t="s">
        <v>219</v>
      </c>
      <c r="D296" s="1" t="s">
        <v>49</v>
      </c>
      <c r="E296" s="1" t="s">
        <v>396</v>
      </c>
      <c r="F296" s="2">
        <v>40844</v>
      </c>
      <c r="G296" s="1" t="s">
        <v>51</v>
      </c>
      <c r="H296" s="1" t="s">
        <v>19</v>
      </c>
      <c r="I296" s="1" t="s">
        <v>29</v>
      </c>
      <c r="J296" s="1" t="s">
        <v>397</v>
      </c>
      <c r="K296" s="1" t="s">
        <v>66</v>
      </c>
      <c r="L296" s="2">
        <v>45800</v>
      </c>
      <c r="M296" s="1" t="s">
        <v>23</v>
      </c>
      <c r="N296" s="3"/>
    </row>
    <row r="297" spans="1:17" ht="12.5" x14ac:dyDescent="0.25">
      <c r="A297" s="68">
        <v>45800.805912986107</v>
      </c>
      <c r="B297" s="4" t="s">
        <v>135</v>
      </c>
      <c r="C297" s="4" t="s">
        <v>136</v>
      </c>
      <c r="D297" s="4" t="s">
        <v>137</v>
      </c>
      <c r="E297" s="4" t="s">
        <v>138</v>
      </c>
      <c r="F297" s="5">
        <v>29704</v>
      </c>
      <c r="G297" s="4" t="s">
        <v>139</v>
      </c>
      <c r="H297" s="4" t="s">
        <v>28</v>
      </c>
      <c r="I297" s="4" t="s">
        <v>29</v>
      </c>
      <c r="J297" s="4" t="s">
        <v>140</v>
      </c>
      <c r="K297" s="4" t="s">
        <v>31</v>
      </c>
      <c r="L297" s="5">
        <v>45800</v>
      </c>
      <c r="M297" s="4" t="s">
        <v>32</v>
      </c>
      <c r="N297" s="6" t="s">
        <v>141</v>
      </c>
    </row>
    <row r="298" spans="1:17" ht="12.5" x14ac:dyDescent="0.25">
      <c r="A298" s="67">
        <v>45800.805912986107</v>
      </c>
      <c r="B298" s="1" t="s">
        <v>1117</v>
      </c>
      <c r="C298" s="1" t="s">
        <v>817</v>
      </c>
      <c r="D298" s="1" t="s">
        <v>1153</v>
      </c>
      <c r="E298" s="1" t="s">
        <v>1154</v>
      </c>
      <c r="F298" s="2">
        <v>35230</v>
      </c>
      <c r="G298" s="1" t="s">
        <v>1155</v>
      </c>
      <c r="H298" s="1" t="s">
        <v>78</v>
      </c>
      <c r="I298" s="1" t="s">
        <v>29</v>
      </c>
      <c r="J298" s="1" t="s">
        <v>1156</v>
      </c>
      <c r="K298" s="1" t="s">
        <v>22</v>
      </c>
      <c r="L298" s="2">
        <v>45800</v>
      </c>
      <c r="M298" s="1" t="s">
        <v>23</v>
      </c>
      <c r="N298" s="3"/>
    </row>
    <row r="299" spans="1:17" ht="12.5" x14ac:dyDescent="0.25">
      <c r="A299" s="68">
        <v>45800.805912986107</v>
      </c>
      <c r="B299" s="4" t="s">
        <v>48</v>
      </c>
      <c r="C299" s="4" t="s">
        <v>49</v>
      </c>
      <c r="D299" s="4" t="s">
        <v>49</v>
      </c>
      <c r="E299" s="4" t="s">
        <v>50</v>
      </c>
      <c r="F299" s="5">
        <v>25706</v>
      </c>
      <c r="G299" s="4" t="s">
        <v>51</v>
      </c>
      <c r="H299" s="4" t="s">
        <v>28</v>
      </c>
      <c r="I299" s="4" t="s">
        <v>29</v>
      </c>
      <c r="J299" s="4" t="s">
        <v>52</v>
      </c>
      <c r="K299" s="4" t="s">
        <v>53</v>
      </c>
      <c r="L299" s="5">
        <v>45800</v>
      </c>
      <c r="M299" s="4" t="s">
        <v>23</v>
      </c>
      <c r="N299" s="6"/>
      <c r="O299" s="10"/>
      <c r="P299" s="10"/>
      <c r="Q299" s="10"/>
    </row>
    <row r="300" spans="1:17" ht="12.5" x14ac:dyDescent="0.25">
      <c r="A300" s="67">
        <v>45800.805912986107</v>
      </c>
      <c r="B300" s="1" t="s">
        <v>464</v>
      </c>
      <c r="C300" s="1" t="s">
        <v>465</v>
      </c>
      <c r="D300" s="1" t="s">
        <v>136</v>
      </c>
      <c r="E300" s="1" t="s">
        <v>466</v>
      </c>
      <c r="F300" s="2">
        <v>40688</v>
      </c>
      <c r="G300" s="1" t="s">
        <v>139</v>
      </c>
      <c r="H300" s="1" t="s">
        <v>19</v>
      </c>
      <c r="I300" s="1" t="s">
        <v>29</v>
      </c>
      <c r="J300" s="1" t="s">
        <v>467</v>
      </c>
      <c r="K300" s="1" t="s">
        <v>31</v>
      </c>
      <c r="L300" s="2">
        <v>45800</v>
      </c>
      <c r="M300" s="1" t="s">
        <v>32</v>
      </c>
      <c r="N300" s="3"/>
    </row>
    <row r="301" spans="1:17" ht="12.5" x14ac:dyDescent="0.25">
      <c r="A301" s="70">
        <v>45800.805912986107</v>
      </c>
      <c r="B301" s="72" t="s">
        <v>468</v>
      </c>
      <c r="C301" s="72" t="s">
        <v>465</v>
      </c>
      <c r="D301" s="72" t="s">
        <v>240</v>
      </c>
      <c r="E301" s="72" t="s">
        <v>469</v>
      </c>
      <c r="F301" s="74">
        <v>29588</v>
      </c>
      <c r="G301" s="72" t="s">
        <v>139</v>
      </c>
      <c r="H301" s="72" t="s">
        <v>28</v>
      </c>
      <c r="I301" s="72" t="s">
        <v>29</v>
      </c>
      <c r="J301" s="72" t="s">
        <v>470</v>
      </c>
      <c r="K301" s="72" t="s">
        <v>31</v>
      </c>
      <c r="L301" s="74">
        <v>45800</v>
      </c>
      <c r="M301" s="72" t="s">
        <v>32</v>
      </c>
      <c r="N301" s="89"/>
    </row>
    <row r="302" spans="1:17" ht="12.5" x14ac:dyDescent="0.25">
      <c r="A302" s="67">
        <v>45801</v>
      </c>
      <c r="B302" s="1" t="s">
        <v>915</v>
      </c>
      <c r="C302" s="1" t="s">
        <v>1501</v>
      </c>
      <c r="D302" s="1" t="s">
        <v>472</v>
      </c>
      <c r="E302" s="1"/>
      <c r="F302" s="2"/>
      <c r="G302" s="1"/>
      <c r="H302" s="1" t="s">
        <v>28</v>
      </c>
      <c r="I302" s="64" t="s">
        <v>1824</v>
      </c>
      <c r="J302" s="1"/>
      <c r="K302" s="64" t="s">
        <v>53</v>
      </c>
      <c r="L302" s="2">
        <v>45801</v>
      </c>
      <c r="M302" s="1"/>
      <c r="N302" s="3"/>
    </row>
    <row r="303" spans="1:17" ht="12.5" x14ac:dyDescent="0.25">
      <c r="A303" s="68">
        <v>45801</v>
      </c>
      <c r="B303" s="4" t="s">
        <v>656</v>
      </c>
      <c r="C303" s="4" t="s">
        <v>709</v>
      </c>
      <c r="D303" s="4"/>
      <c r="E303" s="4"/>
      <c r="F303" s="5"/>
      <c r="G303" s="4"/>
      <c r="H303" s="64" t="s">
        <v>1827</v>
      </c>
      <c r="I303" s="4"/>
      <c r="J303" s="4"/>
      <c r="K303" s="4"/>
      <c r="L303" s="5">
        <v>45801</v>
      </c>
      <c r="M303" s="4"/>
      <c r="N303" s="6">
        <v>7000</v>
      </c>
    </row>
    <row r="304" spans="1:17" ht="12.5" x14ac:dyDescent="0.25">
      <c r="A304" s="67">
        <v>45801.356873287034</v>
      </c>
      <c r="B304" s="1" t="s">
        <v>1138</v>
      </c>
      <c r="C304" s="1" t="s">
        <v>856</v>
      </c>
      <c r="D304" s="1" t="s">
        <v>460</v>
      </c>
      <c r="E304" s="1">
        <v>172861822</v>
      </c>
      <c r="F304" s="2">
        <v>32647</v>
      </c>
      <c r="G304" s="1" t="s">
        <v>1139</v>
      </c>
      <c r="H304" s="1" t="s">
        <v>28</v>
      </c>
      <c r="I304" s="1" t="s">
        <v>29</v>
      </c>
      <c r="J304" s="1" t="s">
        <v>1140</v>
      </c>
      <c r="K304" s="76" t="s">
        <v>31</v>
      </c>
      <c r="L304" s="84">
        <v>45801</v>
      </c>
      <c r="M304" s="81"/>
      <c r="N304" s="3"/>
    </row>
    <row r="305" spans="1:17" ht="12.5" x14ac:dyDescent="0.25">
      <c r="A305" s="67">
        <v>45801.356873287034</v>
      </c>
      <c r="B305" s="99" t="s">
        <v>1834</v>
      </c>
      <c r="C305" s="99" t="s">
        <v>765</v>
      </c>
      <c r="D305" s="99" t="s">
        <v>1835</v>
      </c>
      <c r="E305" s="77">
        <v>181850558</v>
      </c>
      <c r="F305" s="83"/>
      <c r="G305" s="77">
        <v>56950079090</v>
      </c>
      <c r="H305" s="1" t="s">
        <v>28</v>
      </c>
      <c r="I305" s="1" t="s">
        <v>29</v>
      </c>
      <c r="J305" s="77" t="s">
        <v>1570</v>
      </c>
      <c r="K305" s="76" t="s">
        <v>31</v>
      </c>
      <c r="L305" s="63">
        <v>45801</v>
      </c>
      <c r="N305" s="100"/>
    </row>
    <row r="306" spans="1:17" ht="12.5" x14ac:dyDescent="0.25">
      <c r="A306" s="68">
        <v>45801.360601990746</v>
      </c>
      <c r="B306" s="4" t="s">
        <v>295</v>
      </c>
      <c r="C306" s="4" t="s">
        <v>296</v>
      </c>
      <c r="D306" s="4" t="s">
        <v>185</v>
      </c>
      <c r="E306" s="4">
        <v>199969870</v>
      </c>
      <c r="F306" s="5">
        <v>36081</v>
      </c>
      <c r="G306" s="4" t="s">
        <v>297</v>
      </c>
      <c r="H306" s="4" t="s">
        <v>28</v>
      </c>
      <c r="I306" s="4" t="s">
        <v>29</v>
      </c>
      <c r="J306" s="4" t="s">
        <v>298</v>
      </c>
      <c r="K306" s="80" t="s">
        <v>31</v>
      </c>
      <c r="L306" s="86">
        <v>45801</v>
      </c>
      <c r="M306" s="79"/>
      <c r="N306" s="6"/>
      <c r="O306" s="10"/>
      <c r="P306" s="10"/>
      <c r="Q306" s="10"/>
    </row>
    <row r="307" spans="1:17" ht="12.5" x14ac:dyDescent="0.25">
      <c r="A307" s="70">
        <v>45801.360905092588</v>
      </c>
      <c r="B307" s="72" t="s">
        <v>325</v>
      </c>
      <c r="C307" s="72" t="s">
        <v>862</v>
      </c>
      <c r="D307" s="72" t="s">
        <v>745</v>
      </c>
      <c r="E307" s="72" t="s">
        <v>863</v>
      </c>
      <c r="F307" s="74">
        <v>37096</v>
      </c>
      <c r="G307" s="72" t="s">
        <v>864</v>
      </c>
      <c r="H307" s="72" t="s">
        <v>28</v>
      </c>
      <c r="I307" s="72" t="s">
        <v>29</v>
      </c>
      <c r="J307" s="72" t="s">
        <v>865</v>
      </c>
      <c r="K307" s="82" t="s">
        <v>98</v>
      </c>
      <c r="L307" s="87">
        <v>45801</v>
      </c>
      <c r="M307" s="78"/>
      <c r="N307" s="89"/>
    </row>
    <row r="308" spans="1:17" ht="12.5" x14ac:dyDescent="0.25">
      <c r="A308" s="70">
        <v>45801.363433055551</v>
      </c>
      <c r="B308" s="72" t="s">
        <v>1195</v>
      </c>
      <c r="C308" s="72" t="s">
        <v>1196</v>
      </c>
      <c r="D308" s="72" t="s">
        <v>1197</v>
      </c>
      <c r="E308" s="72">
        <v>233110299</v>
      </c>
      <c r="F308" s="74">
        <v>40299</v>
      </c>
      <c r="G308" s="72">
        <v>86232526</v>
      </c>
      <c r="H308" s="72" t="s">
        <v>19</v>
      </c>
      <c r="I308" s="72" t="s">
        <v>29</v>
      </c>
      <c r="J308" s="72" t="s">
        <v>1198</v>
      </c>
      <c r="K308" s="72"/>
      <c r="L308" s="98">
        <v>45801</v>
      </c>
      <c r="M308" s="72"/>
      <c r="N308" s="89" t="s">
        <v>661</v>
      </c>
    </row>
    <row r="309" spans="1:17" ht="12.5" x14ac:dyDescent="0.25">
      <c r="A309" s="67">
        <v>45801.365997604167</v>
      </c>
      <c r="B309" s="1" t="s">
        <v>357</v>
      </c>
      <c r="C309" s="1" t="s">
        <v>1123</v>
      </c>
      <c r="D309" s="1" t="s">
        <v>1046</v>
      </c>
      <c r="E309" s="1">
        <v>79870315</v>
      </c>
      <c r="F309" s="2">
        <v>21746</v>
      </c>
      <c r="G309" s="1" t="s">
        <v>1250</v>
      </c>
      <c r="H309" s="1" t="s">
        <v>28</v>
      </c>
      <c r="I309" s="1" t="s">
        <v>29</v>
      </c>
      <c r="J309" s="1" t="s">
        <v>1251</v>
      </c>
      <c r="K309" s="76" t="s">
        <v>98</v>
      </c>
      <c r="L309" s="84">
        <v>45801</v>
      </c>
      <c r="M309" s="81"/>
      <c r="N309" s="90"/>
    </row>
    <row r="310" spans="1:17" ht="12.5" x14ac:dyDescent="0.25">
      <c r="A310" s="68">
        <v>45801.366428043984</v>
      </c>
      <c r="B310" s="4" t="s">
        <v>671</v>
      </c>
      <c r="C310" s="4" t="s">
        <v>1270</v>
      </c>
      <c r="D310" s="4" t="s">
        <v>1280</v>
      </c>
      <c r="E310" s="4" t="s">
        <v>1281</v>
      </c>
      <c r="F310" s="5">
        <v>18576</v>
      </c>
      <c r="G310" s="4">
        <v>56979127659</v>
      </c>
      <c r="H310" s="4" t="s">
        <v>28</v>
      </c>
      <c r="I310" s="4" t="s">
        <v>29</v>
      </c>
      <c r="J310" s="4" t="s">
        <v>1282</v>
      </c>
      <c r="K310" s="80" t="s">
        <v>98</v>
      </c>
      <c r="L310" s="63">
        <v>45801</v>
      </c>
      <c r="N310" s="91"/>
    </row>
    <row r="311" spans="1:17" ht="12.5" x14ac:dyDescent="0.25">
      <c r="A311" s="67">
        <v>45801.367914444447</v>
      </c>
      <c r="B311" s="1" t="s">
        <v>357</v>
      </c>
      <c r="C311" s="1" t="s">
        <v>358</v>
      </c>
      <c r="D311" s="1" t="s">
        <v>320</v>
      </c>
      <c r="E311" s="1">
        <v>113153458</v>
      </c>
      <c r="F311" s="2">
        <v>24890</v>
      </c>
      <c r="G311" s="1" t="s">
        <v>359</v>
      </c>
      <c r="H311" s="1" t="s">
        <v>28</v>
      </c>
      <c r="I311" s="1" t="s">
        <v>29</v>
      </c>
      <c r="J311" s="1" t="s">
        <v>360</v>
      </c>
      <c r="K311" s="76" t="s">
        <v>98</v>
      </c>
      <c r="L311" s="84">
        <v>45801</v>
      </c>
      <c r="M311" s="81"/>
      <c r="N311" s="90"/>
    </row>
    <row r="312" spans="1:17" ht="12.5" x14ac:dyDescent="0.25">
      <c r="A312" s="68">
        <v>45801.367949039355</v>
      </c>
      <c r="B312" s="4" t="s">
        <v>433</v>
      </c>
      <c r="C312" s="4" t="s">
        <v>451</v>
      </c>
      <c r="D312" s="4" t="s">
        <v>991</v>
      </c>
      <c r="E312" s="4" t="s">
        <v>992</v>
      </c>
      <c r="F312" s="5">
        <v>37323</v>
      </c>
      <c r="G312" s="4">
        <v>993893207</v>
      </c>
      <c r="H312" s="4" t="s">
        <v>28</v>
      </c>
      <c r="I312" s="4" t="s">
        <v>29</v>
      </c>
      <c r="J312" s="4" t="s">
        <v>993</v>
      </c>
      <c r="K312" s="4"/>
      <c r="L312" s="5">
        <v>45801</v>
      </c>
      <c r="M312" s="4"/>
      <c r="N312" s="6"/>
    </row>
    <row r="313" spans="1:17" ht="12.5" x14ac:dyDescent="0.25">
      <c r="A313" s="67">
        <v>45801.369565659727</v>
      </c>
      <c r="B313" s="1" t="s">
        <v>520</v>
      </c>
      <c r="C313" s="1" t="s">
        <v>1014</v>
      </c>
      <c r="D313" s="1" t="s">
        <v>1015</v>
      </c>
      <c r="E313" s="1">
        <v>134694246</v>
      </c>
      <c r="F313" s="2">
        <v>28777</v>
      </c>
      <c r="G313" s="1" t="s">
        <v>1016</v>
      </c>
      <c r="H313" s="1" t="s">
        <v>28</v>
      </c>
      <c r="I313" s="1" t="s">
        <v>29</v>
      </c>
      <c r="J313" s="1" t="s">
        <v>1017</v>
      </c>
      <c r="K313" s="81"/>
      <c r="L313" s="84">
        <v>45801</v>
      </c>
      <c r="M313" s="81"/>
      <c r="N313" s="90"/>
    </row>
    <row r="314" spans="1:17" ht="12.5" x14ac:dyDescent="0.25">
      <c r="A314" s="68">
        <v>45801.370632974533</v>
      </c>
      <c r="B314" s="75" t="s">
        <v>1825</v>
      </c>
      <c r="C314" s="75" t="s">
        <v>1826</v>
      </c>
      <c r="D314" s="4"/>
      <c r="E314" s="4"/>
      <c r="F314" s="5"/>
      <c r="G314" s="4"/>
      <c r="H314" s="4"/>
      <c r="I314" s="4"/>
      <c r="J314" s="4"/>
      <c r="K314" s="80" t="s">
        <v>58</v>
      </c>
      <c r="L314" s="86">
        <v>45801</v>
      </c>
      <c r="M314" s="79"/>
      <c r="N314" s="91"/>
      <c r="O314" s="10"/>
      <c r="P314" s="10"/>
      <c r="Q314" s="10"/>
    </row>
    <row r="315" spans="1:17" ht="12.5" x14ac:dyDescent="0.25">
      <c r="A315" s="68">
        <v>45801.370632974533</v>
      </c>
      <c r="B315" s="77" t="s">
        <v>392</v>
      </c>
      <c r="C315" s="77" t="s">
        <v>483</v>
      </c>
      <c r="D315" s="77" t="s">
        <v>484</v>
      </c>
      <c r="E315" s="77">
        <v>191705920</v>
      </c>
      <c r="F315" s="83">
        <v>34847</v>
      </c>
      <c r="G315" s="77">
        <v>53454934</v>
      </c>
      <c r="H315" s="77" t="s">
        <v>28</v>
      </c>
      <c r="I315" s="77" t="s">
        <v>29</v>
      </c>
      <c r="J315" s="77" t="s">
        <v>485</v>
      </c>
      <c r="K315" s="80" t="s">
        <v>58</v>
      </c>
      <c r="L315" s="63">
        <v>45801</v>
      </c>
      <c r="N315" s="93"/>
      <c r="O315" s="10"/>
      <c r="P315" s="10"/>
      <c r="Q315" s="10"/>
    </row>
    <row r="316" spans="1:17" ht="12.5" x14ac:dyDescent="0.25">
      <c r="A316" s="67">
        <v>45801.370872523148</v>
      </c>
      <c r="B316" s="1" t="s">
        <v>80</v>
      </c>
      <c r="C316" s="1" t="s">
        <v>340</v>
      </c>
      <c r="D316" s="1" t="s">
        <v>341</v>
      </c>
      <c r="E316" s="1" t="s">
        <v>342</v>
      </c>
      <c r="F316" s="2">
        <v>24954</v>
      </c>
      <c r="G316" s="1">
        <v>994695097</v>
      </c>
      <c r="H316" s="1" t="s">
        <v>28</v>
      </c>
      <c r="I316" s="1" t="s">
        <v>29</v>
      </c>
      <c r="J316" s="1" t="s">
        <v>343</v>
      </c>
      <c r="K316" s="1"/>
      <c r="L316" s="2">
        <v>45801</v>
      </c>
      <c r="M316" s="1"/>
      <c r="N316" s="3"/>
    </row>
    <row r="317" spans="1:17" ht="12.5" x14ac:dyDescent="0.25">
      <c r="A317" s="68">
        <v>45801.371008819449</v>
      </c>
      <c r="B317" s="4" t="s">
        <v>754</v>
      </c>
      <c r="C317" s="4" t="s">
        <v>745</v>
      </c>
      <c r="D317" s="4" t="s">
        <v>755</v>
      </c>
      <c r="E317" s="4" t="s">
        <v>756</v>
      </c>
      <c r="F317" s="5">
        <v>25069</v>
      </c>
      <c r="G317" s="4" t="s">
        <v>757</v>
      </c>
      <c r="H317" s="4" t="s">
        <v>28</v>
      </c>
      <c r="I317" s="4" t="s">
        <v>29</v>
      </c>
      <c r="J317" s="4" t="s">
        <v>758</v>
      </c>
      <c r="K317" s="75" t="s">
        <v>122</v>
      </c>
      <c r="L317" s="83">
        <v>45800</v>
      </c>
      <c r="M317" s="77"/>
      <c r="N317" s="6"/>
      <c r="O317" s="10"/>
      <c r="P317" s="10"/>
      <c r="Q317" s="10"/>
    </row>
    <row r="318" spans="1:17" ht="12.5" x14ac:dyDescent="0.25">
      <c r="A318" s="67">
        <v>45801.37258649306</v>
      </c>
      <c r="B318" s="1" t="s">
        <v>556</v>
      </c>
      <c r="C318" s="1" t="s">
        <v>557</v>
      </c>
      <c r="D318" s="1" t="s">
        <v>558</v>
      </c>
      <c r="E318" s="1">
        <v>104361943</v>
      </c>
      <c r="F318" s="2">
        <v>22953</v>
      </c>
      <c r="G318" s="1">
        <v>56930228519</v>
      </c>
      <c r="H318" s="1" t="s">
        <v>28</v>
      </c>
      <c r="I318" s="1" t="s">
        <v>29</v>
      </c>
      <c r="J318" s="1" t="s">
        <v>559</v>
      </c>
      <c r="K318" s="102" t="s">
        <v>98</v>
      </c>
      <c r="L318" s="63">
        <v>45801</v>
      </c>
      <c r="N318" s="90"/>
    </row>
    <row r="319" spans="1:17" ht="12.5" x14ac:dyDescent="0.25">
      <c r="A319" s="68">
        <v>45801.372630254627</v>
      </c>
      <c r="B319" s="4" t="s">
        <v>638</v>
      </c>
      <c r="C319" s="4" t="s">
        <v>1108</v>
      </c>
      <c r="D319" s="4" t="s">
        <v>1109</v>
      </c>
      <c r="E319" s="4" t="s">
        <v>1110</v>
      </c>
      <c r="F319" s="5">
        <v>26673</v>
      </c>
      <c r="G319" s="4" t="s">
        <v>1111</v>
      </c>
      <c r="H319" s="4" t="s">
        <v>28</v>
      </c>
      <c r="I319" s="4" t="s">
        <v>29</v>
      </c>
      <c r="J319" s="4" t="s">
        <v>1112</v>
      </c>
      <c r="K319" s="99" t="s">
        <v>122</v>
      </c>
      <c r="L319" s="83">
        <v>45800</v>
      </c>
      <c r="M319" s="77"/>
      <c r="N319" s="6"/>
      <c r="O319" s="10"/>
      <c r="P319" s="10"/>
      <c r="Q319" s="10"/>
    </row>
    <row r="320" spans="1:17" ht="12.5" x14ac:dyDescent="0.25">
      <c r="A320" s="70">
        <v>45801.373343576386</v>
      </c>
      <c r="B320" s="72" t="s">
        <v>1467</v>
      </c>
      <c r="C320" s="72" t="s">
        <v>1468</v>
      </c>
      <c r="D320" s="72" t="s">
        <v>1469</v>
      </c>
      <c r="E320" s="72" t="s">
        <v>1470</v>
      </c>
      <c r="F320" s="74">
        <v>38842</v>
      </c>
      <c r="G320" s="72" t="s">
        <v>1471</v>
      </c>
      <c r="H320" s="72" t="s">
        <v>19</v>
      </c>
      <c r="I320" s="72" t="s">
        <v>29</v>
      </c>
      <c r="J320" s="72" t="s">
        <v>1472</v>
      </c>
      <c r="K320" s="82" t="s">
        <v>66</v>
      </c>
      <c r="L320" s="87">
        <v>45801</v>
      </c>
      <c r="M320" s="78"/>
      <c r="N320" s="92"/>
    </row>
    <row r="321" spans="1:17" ht="12.5" x14ac:dyDescent="0.25">
      <c r="A321" s="68">
        <v>45801.374040462964</v>
      </c>
      <c r="B321" s="4" t="s">
        <v>1380</v>
      </c>
      <c r="C321" s="4" t="s">
        <v>487</v>
      </c>
      <c r="D321" s="4" t="s">
        <v>765</v>
      </c>
      <c r="E321" s="4">
        <v>132916063</v>
      </c>
      <c r="F321" s="5">
        <v>28136</v>
      </c>
      <c r="G321" s="4">
        <v>979051587</v>
      </c>
      <c r="H321" s="4" t="s">
        <v>28</v>
      </c>
      <c r="I321" s="4" t="s">
        <v>29</v>
      </c>
      <c r="J321" s="4" t="s">
        <v>1381</v>
      </c>
      <c r="K321" s="4"/>
      <c r="L321" s="83">
        <v>45801</v>
      </c>
      <c r="M321" s="4"/>
      <c r="N321" s="6"/>
    </row>
    <row r="322" spans="1:17" ht="12.5" x14ac:dyDescent="0.25">
      <c r="A322" s="67">
        <v>45801.377467719911</v>
      </c>
      <c r="B322" s="1" t="s">
        <v>960</v>
      </c>
      <c r="C322" s="1" t="s">
        <v>961</v>
      </c>
      <c r="D322" s="1" t="s">
        <v>586</v>
      </c>
      <c r="E322" s="1" t="s">
        <v>962</v>
      </c>
      <c r="F322" s="2">
        <v>25865</v>
      </c>
      <c r="G322" s="1">
        <v>56993722041</v>
      </c>
      <c r="H322" s="1" t="s">
        <v>28</v>
      </c>
      <c r="I322" s="1" t="s">
        <v>29</v>
      </c>
      <c r="J322" s="1" t="s">
        <v>963</v>
      </c>
      <c r="K322" s="102" t="s">
        <v>98</v>
      </c>
      <c r="L322" s="63">
        <v>45801</v>
      </c>
      <c r="N322" s="90"/>
    </row>
    <row r="323" spans="1:17" ht="12.5" x14ac:dyDescent="0.25">
      <c r="A323" s="68">
        <v>45801.37766784722</v>
      </c>
      <c r="B323" s="4" t="s">
        <v>1078</v>
      </c>
      <c r="C323" s="4" t="s">
        <v>1079</v>
      </c>
      <c r="D323" s="4" t="s">
        <v>185</v>
      </c>
      <c r="E323" s="4">
        <v>100941120</v>
      </c>
      <c r="F323" s="5">
        <v>24944</v>
      </c>
      <c r="G323" s="4" t="s">
        <v>1080</v>
      </c>
      <c r="H323" s="4" t="s">
        <v>78</v>
      </c>
      <c r="I323" s="4" t="s">
        <v>38</v>
      </c>
      <c r="J323" s="4" t="s">
        <v>1081</v>
      </c>
      <c r="K323" s="80" t="s">
        <v>22</v>
      </c>
      <c r="L323" s="63">
        <v>45801</v>
      </c>
      <c r="N323" s="91"/>
      <c r="O323" s="10"/>
      <c r="P323" s="10"/>
      <c r="Q323" s="10"/>
    </row>
    <row r="324" spans="1:17" ht="12.5" x14ac:dyDescent="0.25">
      <c r="A324" s="67">
        <v>45801.378295972223</v>
      </c>
      <c r="B324" s="1" t="s">
        <v>1439</v>
      </c>
      <c r="C324" s="1" t="s">
        <v>1440</v>
      </c>
      <c r="D324" s="1" t="s">
        <v>1441</v>
      </c>
      <c r="E324" s="1">
        <v>109761923</v>
      </c>
      <c r="F324" s="2">
        <v>26006</v>
      </c>
      <c r="G324" s="1">
        <v>569976000477</v>
      </c>
      <c r="H324" s="1" t="s">
        <v>28</v>
      </c>
      <c r="I324" s="1" t="s">
        <v>29</v>
      </c>
      <c r="J324" s="1" t="s">
        <v>1442</v>
      </c>
      <c r="K324" s="102" t="s">
        <v>98</v>
      </c>
      <c r="L324" s="103">
        <v>45801</v>
      </c>
      <c r="O324" s="10"/>
      <c r="P324" s="10"/>
      <c r="Q324" s="10"/>
    </row>
    <row r="325" spans="1:17" ht="12.5" x14ac:dyDescent="0.25">
      <c r="A325" s="68">
        <v>45801.378819930556</v>
      </c>
      <c r="B325" s="4" t="s">
        <v>295</v>
      </c>
      <c r="C325" s="4" t="s">
        <v>801</v>
      </c>
      <c r="D325" s="4" t="s">
        <v>1362</v>
      </c>
      <c r="E325" s="4">
        <v>232086386</v>
      </c>
      <c r="F325" s="5">
        <v>40145</v>
      </c>
      <c r="G325" s="4">
        <v>937576627</v>
      </c>
      <c r="H325" s="4" t="s">
        <v>19</v>
      </c>
      <c r="I325" s="4" t="s">
        <v>29</v>
      </c>
      <c r="J325" s="4" t="s">
        <v>1363</v>
      </c>
      <c r="K325" s="4"/>
      <c r="L325" s="83">
        <v>45801</v>
      </c>
      <c r="M325" s="4"/>
      <c r="N325" s="6"/>
    </row>
    <row r="326" spans="1:17" ht="12.5" x14ac:dyDescent="0.25">
      <c r="A326" s="67">
        <v>45801.381587048614</v>
      </c>
      <c r="B326" s="1" t="s">
        <v>906</v>
      </c>
      <c r="C326" s="1" t="s">
        <v>907</v>
      </c>
      <c r="D326" s="1" t="s">
        <v>908</v>
      </c>
      <c r="E326" s="1" t="s">
        <v>909</v>
      </c>
      <c r="F326" s="2">
        <v>32422</v>
      </c>
      <c r="G326" s="1">
        <v>942712549</v>
      </c>
      <c r="H326" s="64" t="s">
        <v>1827</v>
      </c>
      <c r="I326" s="1" t="s">
        <v>29</v>
      </c>
      <c r="J326" s="1" t="s">
        <v>910</v>
      </c>
      <c r="K326" s="1"/>
      <c r="L326" s="2">
        <v>45801</v>
      </c>
      <c r="M326" s="1"/>
      <c r="N326" s="3"/>
    </row>
    <row r="327" spans="1:17" ht="12.5" x14ac:dyDescent="0.25">
      <c r="A327" s="70">
        <v>45801.385085543981</v>
      </c>
      <c r="B327" s="72" t="s">
        <v>969</v>
      </c>
      <c r="C327" s="72" t="s">
        <v>1232</v>
      </c>
      <c r="D327" s="72" t="s">
        <v>137</v>
      </c>
      <c r="E327" s="72">
        <v>231140182</v>
      </c>
      <c r="F327" s="74">
        <v>40061</v>
      </c>
      <c r="G327" s="72" t="s">
        <v>1233</v>
      </c>
      <c r="H327" s="97" t="s">
        <v>1828</v>
      </c>
      <c r="I327" s="72" t="s">
        <v>29</v>
      </c>
      <c r="J327" s="72" t="s">
        <v>1234</v>
      </c>
      <c r="K327" s="78"/>
      <c r="L327" s="123">
        <v>45803</v>
      </c>
      <c r="M327" s="78"/>
      <c r="N327" s="92"/>
    </row>
    <row r="328" spans="1:17" ht="12.5" x14ac:dyDescent="0.25">
      <c r="A328" s="67">
        <v>45801.386815983795</v>
      </c>
      <c r="B328" s="1" t="s">
        <v>578</v>
      </c>
      <c r="C328" s="1" t="s">
        <v>185</v>
      </c>
      <c r="D328" s="1" t="s">
        <v>579</v>
      </c>
      <c r="E328" s="1">
        <v>114918245</v>
      </c>
      <c r="F328" s="2">
        <v>25390</v>
      </c>
      <c r="G328" s="1" t="s">
        <v>580</v>
      </c>
      <c r="H328" s="1" t="s">
        <v>28</v>
      </c>
      <c r="I328" s="1" t="s">
        <v>29</v>
      </c>
      <c r="J328" s="1" t="s">
        <v>581</v>
      </c>
      <c r="K328" s="81"/>
      <c r="L328" s="63">
        <v>45801</v>
      </c>
      <c r="N328" s="90"/>
      <c r="O328" s="10"/>
      <c r="P328" s="10"/>
      <c r="Q328" s="10"/>
    </row>
    <row r="329" spans="1:17" ht="12.5" x14ac:dyDescent="0.25">
      <c r="A329" s="68">
        <v>45801.38986758102</v>
      </c>
      <c r="B329" s="4" t="s">
        <v>690</v>
      </c>
      <c r="C329" s="4" t="s">
        <v>839</v>
      </c>
      <c r="D329" s="4" t="s">
        <v>240</v>
      </c>
      <c r="E329" s="4">
        <v>192364485</v>
      </c>
      <c r="F329" s="5">
        <v>35256</v>
      </c>
      <c r="G329" s="4" t="s">
        <v>840</v>
      </c>
      <c r="H329" s="4" t="s">
        <v>28</v>
      </c>
      <c r="I329" s="4" t="s">
        <v>29</v>
      </c>
      <c r="J329" s="4" t="s">
        <v>841</v>
      </c>
      <c r="K329" s="80" t="s">
        <v>98</v>
      </c>
      <c r="L329" s="7">
        <v>45800</v>
      </c>
      <c r="M329" s="79"/>
      <c r="N329" s="91"/>
      <c r="O329" s="10"/>
      <c r="P329" s="10"/>
      <c r="Q329" s="10"/>
    </row>
    <row r="330" spans="1:17" ht="12.5" x14ac:dyDescent="0.25">
      <c r="A330" s="67">
        <v>45801.390629988426</v>
      </c>
      <c r="B330" s="1" t="s">
        <v>671</v>
      </c>
      <c r="C330" s="1" t="s">
        <v>672</v>
      </c>
      <c r="D330" s="1" t="s">
        <v>673</v>
      </c>
      <c r="E330" s="1" t="s">
        <v>674</v>
      </c>
      <c r="F330" s="2">
        <v>24114</v>
      </c>
      <c r="G330" s="1" t="s">
        <v>675</v>
      </c>
      <c r="H330" s="64" t="s">
        <v>1827</v>
      </c>
      <c r="I330" s="1" t="s">
        <v>29</v>
      </c>
      <c r="J330" s="1" t="s">
        <v>676</v>
      </c>
      <c r="K330" s="1"/>
      <c r="L330" s="2">
        <v>45801</v>
      </c>
      <c r="M330" s="1"/>
      <c r="N330" s="3"/>
    </row>
    <row r="331" spans="1:17" ht="12.5" x14ac:dyDescent="0.25">
      <c r="A331" s="68">
        <v>45801.391942789356</v>
      </c>
      <c r="B331" s="4" t="s">
        <v>1252</v>
      </c>
      <c r="C331" s="4" t="s">
        <v>1123</v>
      </c>
      <c r="D331" s="4" t="s">
        <v>1253</v>
      </c>
      <c r="E331" s="4" t="s">
        <v>1254</v>
      </c>
      <c r="F331" s="5">
        <v>22114</v>
      </c>
      <c r="G331" s="4">
        <v>5695212225</v>
      </c>
      <c r="H331" s="75" t="s">
        <v>1827</v>
      </c>
      <c r="I331" s="4" t="s">
        <v>29</v>
      </c>
      <c r="J331" s="4" t="s">
        <v>1255</v>
      </c>
      <c r="K331" s="99" t="s">
        <v>98</v>
      </c>
      <c r="L331" s="83">
        <v>45801</v>
      </c>
      <c r="M331" s="77"/>
      <c r="N331" s="77"/>
    </row>
    <row r="332" spans="1:17" ht="12.5" x14ac:dyDescent="0.25">
      <c r="A332" s="67">
        <v>45801.393387743054</v>
      </c>
      <c r="B332" s="1" t="s">
        <v>1206</v>
      </c>
      <c r="C332" s="1" t="s">
        <v>1207</v>
      </c>
      <c r="D332" s="1" t="s">
        <v>1208</v>
      </c>
      <c r="E332" s="1">
        <v>90019538</v>
      </c>
      <c r="F332" s="2">
        <v>22459</v>
      </c>
      <c r="G332" s="1" t="s">
        <v>1209</v>
      </c>
      <c r="H332" s="64" t="s">
        <v>1827</v>
      </c>
      <c r="I332" s="1" t="s">
        <v>29</v>
      </c>
      <c r="J332" s="1" t="s">
        <v>1210</v>
      </c>
      <c r="K332" s="76" t="s">
        <v>98</v>
      </c>
      <c r="L332" s="84">
        <v>45801</v>
      </c>
      <c r="M332" s="81"/>
      <c r="N332" s="90"/>
      <c r="O332" s="10"/>
      <c r="P332" s="10"/>
      <c r="Q332" s="10"/>
    </row>
    <row r="333" spans="1:17" ht="12.5" x14ac:dyDescent="0.25">
      <c r="A333" s="67">
        <v>45801.397753090278</v>
      </c>
      <c r="B333" s="1" t="s">
        <v>392</v>
      </c>
      <c r="C333" s="1" t="s">
        <v>388</v>
      </c>
      <c r="D333" s="1" t="s">
        <v>393</v>
      </c>
      <c r="E333" s="1">
        <v>165196171</v>
      </c>
      <c r="F333" s="2">
        <v>31850</v>
      </c>
      <c r="G333" s="1">
        <v>56988549862</v>
      </c>
      <c r="H333" s="64" t="s">
        <v>1827</v>
      </c>
      <c r="I333" s="1" t="s">
        <v>29</v>
      </c>
      <c r="J333" s="1" t="s">
        <v>394</v>
      </c>
      <c r="K333" s="1"/>
      <c r="L333" s="2">
        <v>45801</v>
      </c>
      <c r="M333" s="1"/>
      <c r="N333" s="3"/>
    </row>
    <row r="334" spans="1:17" ht="12.5" x14ac:dyDescent="0.25">
      <c r="A334" s="68">
        <v>45801.4018787963</v>
      </c>
      <c r="B334" s="4" t="s">
        <v>638</v>
      </c>
      <c r="C334" s="4" t="s">
        <v>56</v>
      </c>
      <c r="D334" s="4" t="s">
        <v>639</v>
      </c>
      <c r="E334" s="4">
        <v>137079194</v>
      </c>
      <c r="F334" s="5">
        <v>45801</v>
      </c>
      <c r="G334" s="4">
        <v>989566354</v>
      </c>
      <c r="H334" s="4" t="s">
        <v>28</v>
      </c>
      <c r="I334" s="4" t="s">
        <v>29</v>
      </c>
      <c r="J334" s="4" t="s">
        <v>640</v>
      </c>
      <c r="K334" s="79"/>
      <c r="L334" s="86">
        <v>45801</v>
      </c>
      <c r="M334" s="79"/>
      <c r="N334" s="91"/>
    </row>
    <row r="335" spans="1:17" ht="12.5" x14ac:dyDescent="0.25">
      <c r="A335" s="67">
        <v>45801.411068842594</v>
      </c>
      <c r="B335" s="1" t="s">
        <v>198</v>
      </c>
      <c r="C335" s="1" t="s">
        <v>199</v>
      </c>
      <c r="D335" s="1" t="s">
        <v>25</v>
      </c>
      <c r="E335" s="1">
        <v>123456789</v>
      </c>
      <c r="F335" s="2">
        <v>21276</v>
      </c>
      <c r="G335" s="1" t="s">
        <v>200</v>
      </c>
      <c r="H335" s="64" t="s">
        <v>1827</v>
      </c>
      <c r="I335" s="1" t="s">
        <v>29</v>
      </c>
      <c r="J335" s="1" t="s">
        <v>201</v>
      </c>
      <c r="K335" s="76" t="s">
        <v>98</v>
      </c>
      <c r="L335" s="84">
        <v>45801</v>
      </c>
      <c r="M335" s="81"/>
      <c r="N335" s="90"/>
      <c r="O335" s="10"/>
      <c r="P335" s="10"/>
      <c r="Q335" s="10"/>
    </row>
    <row r="336" spans="1:17" ht="12.5" x14ac:dyDescent="0.25">
      <c r="A336" s="68">
        <v>45801.420636689814</v>
      </c>
      <c r="B336" s="4" t="s">
        <v>1422</v>
      </c>
      <c r="C336" s="4" t="s">
        <v>1417</v>
      </c>
      <c r="D336" s="4" t="s">
        <v>185</v>
      </c>
      <c r="E336" s="4">
        <v>172418287</v>
      </c>
      <c r="F336" s="5">
        <v>32564</v>
      </c>
      <c r="G336" s="4">
        <v>981471349</v>
      </c>
      <c r="H336" s="75" t="s">
        <v>1830</v>
      </c>
      <c r="I336" s="4" t="s">
        <v>38</v>
      </c>
      <c r="J336" s="4" t="s">
        <v>1423</v>
      </c>
      <c r="L336" s="63">
        <v>45801</v>
      </c>
      <c r="N336" s="6">
        <v>3000</v>
      </c>
    </row>
    <row r="337" spans="1:14" ht="12.5" x14ac:dyDescent="0.25">
      <c r="A337" s="68">
        <v>45801.420636689814</v>
      </c>
      <c r="B337" s="99" t="s">
        <v>1832</v>
      </c>
      <c r="C337" s="99" t="s">
        <v>1462</v>
      </c>
      <c r="D337" s="99" t="s">
        <v>1833</v>
      </c>
      <c r="E337" s="77"/>
      <c r="F337" s="83"/>
      <c r="G337" s="77"/>
      <c r="H337" s="4" t="s">
        <v>28</v>
      </c>
      <c r="I337" s="77"/>
      <c r="J337" s="77"/>
      <c r="L337" s="63">
        <v>45801</v>
      </c>
      <c r="N337" s="100"/>
    </row>
    <row r="338" spans="1:14" ht="12.5" x14ac:dyDescent="0.25">
      <c r="A338" s="105">
        <v>45801.430777314818</v>
      </c>
      <c r="B338" s="99" t="s">
        <v>1497</v>
      </c>
      <c r="C338" s="99" t="s">
        <v>599</v>
      </c>
      <c r="D338" s="99" t="s">
        <v>366</v>
      </c>
      <c r="E338" s="77" t="s">
        <v>1498</v>
      </c>
      <c r="F338" s="83">
        <v>23789</v>
      </c>
      <c r="G338" s="77" t="s">
        <v>1499</v>
      </c>
      <c r="H338" s="77" t="s">
        <v>1827</v>
      </c>
      <c r="I338" s="77" t="s">
        <v>29</v>
      </c>
      <c r="J338" s="77" t="s">
        <v>1500</v>
      </c>
      <c r="L338" s="63">
        <v>45801</v>
      </c>
      <c r="N338" s="100">
        <v>7000</v>
      </c>
    </row>
    <row r="339" spans="1:14" ht="12.5" hidden="1" x14ac:dyDescent="0.25">
      <c r="A339" s="105">
        <v>45788</v>
      </c>
      <c r="B339" s="99" t="s">
        <v>1836</v>
      </c>
      <c r="C339" s="99" t="s">
        <v>1837</v>
      </c>
      <c r="D339" s="99" t="s">
        <v>1838</v>
      </c>
      <c r="E339" s="77" t="s">
        <v>1520</v>
      </c>
      <c r="F339" s="83"/>
      <c r="G339" s="77">
        <v>953608217</v>
      </c>
      <c r="H339" s="4" t="s">
        <v>78</v>
      </c>
      <c r="I339" s="77" t="s">
        <v>22</v>
      </c>
      <c r="J339" s="77" t="s">
        <v>1523</v>
      </c>
      <c r="L339" s="63">
        <v>45788</v>
      </c>
      <c r="N339" s="100"/>
    </row>
    <row r="340" spans="1:14" ht="12.5" hidden="1" x14ac:dyDescent="0.25">
      <c r="A340" s="105">
        <v>45788</v>
      </c>
      <c r="B340" s="99" t="s">
        <v>832</v>
      </c>
      <c r="C340" s="99" t="s">
        <v>775</v>
      </c>
      <c r="D340" s="99" t="s">
        <v>683</v>
      </c>
      <c r="E340" s="77" t="s">
        <v>1531</v>
      </c>
      <c r="F340" s="83"/>
      <c r="G340" s="77">
        <v>935860668</v>
      </c>
      <c r="H340" s="4" t="s">
        <v>78</v>
      </c>
      <c r="I340" s="77" t="s">
        <v>1537</v>
      </c>
      <c r="J340" s="77" t="s">
        <v>1534</v>
      </c>
      <c r="L340" s="63">
        <v>45786</v>
      </c>
      <c r="N340" s="100"/>
    </row>
    <row r="341" spans="1:14" ht="12.5" hidden="1" x14ac:dyDescent="0.25">
      <c r="A341" s="105">
        <v>45788</v>
      </c>
      <c r="B341" s="99" t="s">
        <v>1843</v>
      </c>
      <c r="C341" s="99" t="s">
        <v>557</v>
      </c>
      <c r="D341" s="99" t="s">
        <v>1841</v>
      </c>
      <c r="E341" s="77" t="s">
        <v>1542</v>
      </c>
      <c r="F341" s="83"/>
      <c r="G341" s="77">
        <v>963723462</v>
      </c>
      <c r="H341" s="4" t="s">
        <v>28</v>
      </c>
      <c r="I341" s="99" t="s">
        <v>53</v>
      </c>
      <c r="J341" s="77" t="s">
        <v>1544</v>
      </c>
      <c r="L341" s="63">
        <v>45782</v>
      </c>
      <c r="N341" s="100"/>
    </row>
    <row r="342" spans="1:14" ht="12.5" hidden="1" x14ac:dyDescent="0.25">
      <c r="A342" s="105">
        <v>45788</v>
      </c>
      <c r="B342" s="99" t="s">
        <v>1844</v>
      </c>
      <c r="C342" s="99" t="s">
        <v>185</v>
      </c>
      <c r="D342" s="99" t="s">
        <v>131</v>
      </c>
      <c r="E342" s="77" t="s">
        <v>1548</v>
      </c>
      <c r="F342" s="83"/>
      <c r="G342" s="77">
        <v>56950507836</v>
      </c>
      <c r="H342" s="4" t="s">
        <v>28</v>
      </c>
      <c r="I342" s="77" t="s">
        <v>285</v>
      </c>
      <c r="J342" s="77" t="s">
        <v>1550</v>
      </c>
      <c r="L342" s="63">
        <v>45795</v>
      </c>
      <c r="N342" s="100"/>
    </row>
    <row r="343" spans="1:14" ht="12.5" hidden="1" x14ac:dyDescent="0.25">
      <c r="A343" s="105">
        <v>45788</v>
      </c>
      <c r="B343" s="99" t="s">
        <v>1845</v>
      </c>
      <c r="C343" s="99" t="s">
        <v>1839</v>
      </c>
      <c r="D343" s="99" t="s">
        <v>1842</v>
      </c>
      <c r="E343" s="77">
        <v>109882623</v>
      </c>
      <c r="F343" s="83"/>
      <c r="G343" s="77">
        <v>56991606982</v>
      </c>
      <c r="H343" s="4" t="s">
        <v>28</v>
      </c>
      <c r="I343" s="99" t="s">
        <v>31</v>
      </c>
      <c r="J343" s="77" t="s">
        <v>1561</v>
      </c>
      <c r="L343" s="63">
        <v>45795</v>
      </c>
      <c r="N343" s="100"/>
    </row>
    <row r="344" spans="1:14" ht="12.5" hidden="1" x14ac:dyDescent="0.25">
      <c r="A344" s="105">
        <v>45788</v>
      </c>
      <c r="B344" s="99" t="s">
        <v>1846</v>
      </c>
      <c r="C344" s="99" t="s">
        <v>1840</v>
      </c>
      <c r="D344" s="99"/>
      <c r="E344" s="77">
        <v>193274048</v>
      </c>
      <c r="F344" s="83"/>
      <c r="G344" s="77">
        <v>98552616</v>
      </c>
      <c r="H344" s="4" t="s">
        <v>78</v>
      </c>
      <c r="I344" s="99" t="s">
        <v>22</v>
      </c>
      <c r="J344" s="77" t="s">
        <v>1564</v>
      </c>
      <c r="L344" s="63">
        <v>45800</v>
      </c>
      <c r="N344" s="100"/>
    </row>
    <row r="345" spans="1:14" ht="12.5" hidden="1" x14ac:dyDescent="0.25">
      <c r="A345" s="105">
        <v>45788</v>
      </c>
      <c r="B345" s="99" t="s">
        <v>1847</v>
      </c>
      <c r="C345" s="99" t="s">
        <v>219</v>
      </c>
      <c r="D345" s="99"/>
      <c r="E345" s="77">
        <v>167871208</v>
      </c>
      <c r="F345" s="83"/>
      <c r="G345" s="77">
        <v>989742097</v>
      </c>
      <c r="H345" s="4" t="s">
        <v>28</v>
      </c>
      <c r="I345" s="99" t="s">
        <v>31</v>
      </c>
      <c r="J345" s="77" t="s">
        <v>1576</v>
      </c>
      <c r="L345" s="63">
        <v>45793</v>
      </c>
      <c r="N345" s="100"/>
    </row>
    <row r="346" spans="1:14" ht="12.5" hidden="1" x14ac:dyDescent="0.25">
      <c r="A346" s="105">
        <v>45788</v>
      </c>
      <c r="B346" s="108" t="s">
        <v>721</v>
      </c>
      <c r="C346" s="108" t="s">
        <v>775</v>
      </c>
      <c r="D346" s="108" t="s">
        <v>683</v>
      </c>
      <c r="E346" s="108" t="s">
        <v>1848</v>
      </c>
      <c r="F346" s="107"/>
      <c r="G346" s="106">
        <v>56974283005</v>
      </c>
      <c r="H346" s="4" t="s">
        <v>78</v>
      </c>
      <c r="I346" s="108" t="s">
        <v>1537</v>
      </c>
      <c r="J346" s="106" t="s">
        <v>1540</v>
      </c>
      <c r="K346" s="109"/>
      <c r="L346" s="110">
        <v>45788</v>
      </c>
      <c r="M346" s="109"/>
      <c r="N346" s="1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3"/>
  <sheetViews>
    <sheetView workbookViewId="0">
      <pane ySplit="1" topLeftCell="A2" activePane="bottomLeft" state="frozen"/>
      <selection pane="bottomLeft" activeCell="C17" sqref="C17"/>
    </sheetView>
  </sheetViews>
  <sheetFormatPr baseColWidth="10" defaultColWidth="12.6328125" defaultRowHeight="15.75" customHeight="1" x14ac:dyDescent="0.25"/>
  <cols>
    <col min="1" max="1" width="16.6328125" customWidth="1"/>
    <col min="3" max="3" width="25" customWidth="1"/>
    <col min="4" max="4" width="13.90625" customWidth="1"/>
    <col min="5" max="5" width="13.7265625" customWidth="1"/>
    <col min="6" max="6" width="36" customWidth="1"/>
    <col min="8" max="8" width="14.7265625" customWidth="1"/>
    <col min="9" max="9" width="22.36328125" customWidth="1"/>
    <col min="10" max="10" width="15.6328125" customWidth="1"/>
    <col min="11" max="11" width="14.36328125" customWidth="1"/>
    <col min="12" max="12" width="14.453125" customWidth="1"/>
    <col min="14" max="14" width="13" customWidth="1"/>
    <col min="15" max="15" width="14.08984375" customWidth="1"/>
    <col min="16" max="16" width="16.7265625" customWidth="1"/>
    <col min="17" max="17" width="16.90625" customWidth="1"/>
    <col min="18" max="18" width="17.36328125" customWidth="1"/>
    <col min="19" max="19" width="16" customWidth="1"/>
  </cols>
  <sheetData>
    <row r="1" spans="1:19" ht="15.75" customHeight="1" x14ac:dyDescent="0.25">
      <c r="A1" s="15" t="s">
        <v>1502</v>
      </c>
      <c r="B1" s="16" t="s">
        <v>1503</v>
      </c>
      <c r="C1" s="16" t="s">
        <v>1504</v>
      </c>
      <c r="D1" s="16" t="s">
        <v>1505</v>
      </c>
      <c r="E1" s="16" t="s">
        <v>1506</v>
      </c>
      <c r="F1" s="16" t="s">
        <v>1507</v>
      </c>
      <c r="G1" s="16" t="s">
        <v>1508</v>
      </c>
      <c r="H1" s="16" t="s">
        <v>1509</v>
      </c>
      <c r="I1" s="16" t="s">
        <v>1510</v>
      </c>
      <c r="J1" s="16" t="s">
        <v>1511</v>
      </c>
      <c r="K1" s="16" t="s">
        <v>1512</v>
      </c>
      <c r="L1" s="16" t="s">
        <v>1513</v>
      </c>
      <c r="M1" s="16" t="s">
        <v>1514</v>
      </c>
      <c r="N1" s="16" t="s">
        <v>1515</v>
      </c>
      <c r="O1" s="16" t="s">
        <v>1516</v>
      </c>
      <c r="P1" s="16" t="s">
        <v>1517</v>
      </c>
      <c r="Q1" s="16" t="s">
        <v>1518</v>
      </c>
      <c r="R1" s="16" t="s">
        <v>10</v>
      </c>
      <c r="S1" s="17" t="s">
        <v>1519</v>
      </c>
    </row>
    <row r="2" spans="1:19" ht="15.75" customHeight="1" x14ac:dyDescent="0.25">
      <c r="A2" s="18">
        <v>155</v>
      </c>
      <c r="B2" s="1" t="s">
        <v>1520</v>
      </c>
      <c r="C2" s="1" t="s">
        <v>1521</v>
      </c>
      <c r="D2" s="1" t="s">
        <v>1522</v>
      </c>
      <c r="E2" s="1">
        <v>953608217</v>
      </c>
      <c r="F2" s="19" t="s">
        <v>1523</v>
      </c>
      <c r="G2" s="1" t="s">
        <v>1524</v>
      </c>
      <c r="H2" s="1" t="s">
        <v>1524</v>
      </c>
      <c r="I2" s="1" t="s">
        <v>1525</v>
      </c>
      <c r="K2" s="12">
        <v>45789</v>
      </c>
      <c r="L2" s="1" t="s">
        <v>1526</v>
      </c>
      <c r="M2" s="1" t="s">
        <v>1527</v>
      </c>
      <c r="N2" s="1" t="s">
        <v>1528</v>
      </c>
      <c r="O2" s="1">
        <v>2024</v>
      </c>
      <c r="P2" s="1" t="s">
        <v>1529</v>
      </c>
      <c r="Q2" s="1" t="s">
        <v>1530</v>
      </c>
      <c r="R2" s="1" t="s">
        <v>22</v>
      </c>
      <c r="S2" s="20">
        <v>45788</v>
      </c>
    </row>
    <row r="3" spans="1:19" ht="15.75" customHeight="1" x14ac:dyDescent="0.25">
      <c r="A3" s="21">
        <v>153</v>
      </c>
      <c r="B3" s="22" t="s">
        <v>1531</v>
      </c>
      <c r="C3" s="22" t="s">
        <v>1532</v>
      </c>
      <c r="D3" s="22" t="s">
        <v>1533</v>
      </c>
      <c r="E3" s="22">
        <v>935860668</v>
      </c>
      <c r="F3" s="23" t="s">
        <v>1534</v>
      </c>
      <c r="G3" s="22" t="s">
        <v>1524</v>
      </c>
      <c r="H3" s="22" t="s">
        <v>1524</v>
      </c>
      <c r="I3" s="22" t="s">
        <v>1535</v>
      </c>
      <c r="J3" s="22" t="s">
        <v>1536</v>
      </c>
      <c r="K3" s="24">
        <v>45786</v>
      </c>
      <c r="L3" s="22" t="s">
        <v>1526</v>
      </c>
      <c r="M3" s="22" t="s">
        <v>1527</v>
      </c>
      <c r="N3" s="22" t="s">
        <v>1528</v>
      </c>
      <c r="O3" s="22">
        <v>2024</v>
      </c>
      <c r="P3" s="22" t="s">
        <v>1529</v>
      </c>
      <c r="Q3" s="22" t="s">
        <v>1530</v>
      </c>
      <c r="R3" s="22" t="s">
        <v>1537</v>
      </c>
      <c r="S3" s="25">
        <v>45786</v>
      </c>
    </row>
    <row r="4" spans="1:19" ht="15.75" customHeight="1" x14ac:dyDescent="0.25">
      <c r="A4" s="18">
        <v>152</v>
      </c>
      <c r="B4" s="1" t="s">
        <v>1538</v>
      </c>
      <c r="C4" s="1" t="s">
        <v>1539</v>
      </c>
      <c r="D4" s="1" t="s">
        <v>1533</v>
      </c>
      <c r="E4" s="1">
        <v>56974283005</v>
      </c>
      <c r="F4" s="19" t="s">
        <v>1540</v>
      </c>
      <c r="G4" s="1" t="s">
        <v>1524</v>
      </c>
      <c r="H4" s="1" t="s">
        <v>1524</v>
      </c>
      <c r="I4" s="1" t="s">
        <v>1541</v>
      </c>
      <c r="K4" s="12">
        <v>45786</v>
      </c>
      <c r="L4" s="1" t="s">
        <v>1526</v>
      </c>
      <c r="M4" s="1" t="s">
        <v>1527</v>
      </c>
      <c r="N4" s="1" t="s">
        <v>1528</v>
      </c>
      <c r="O4" s="1">
        <v>2024</v>
      </c>
      <c r="P4" s="1" t="s">
        <v>1528</v>
      </c>
      <c r="R4" s="1" t="s">
        <v>1537</v>
      </c>
    </row>
    <row r="5" spans="1:19" ht="15.75" customHeight="1" x14ac:dyDescent="0.25">
      <c r="A5" s="21">
        <v>150</v>
      </c>
      <c r="B5" s="22" t="s">
        <v>1542</v>
      </c>
      <c r="C5" s="22" t="s">
        <v>1543</v>
      </c>
      <c r="D5" s="22" t="s">
        <v>1533</v>
      </c>
      <c r="E5" s="22">
        <v>963723462</v>
      </c>
      <c r="F5" s="23" t="s">
        <v>1544</v>
      </c>
      <c r="G5" s="22" t="s">
        <v>1524</v>
      </c>
      <c r="H5" s="22" t="s">
        <v>1524</v>
      </c>
      <c r="I5" s="22" t="s">
        <v>1545</v>
      </c>
      <c r="J5" s="22" t="s">
        <v>1546</v>
      </c>
      <c r="K5" s="24">
        <v>45782</v>
      </c>
      <c r="L5" s="22" t="s">
        <v>1547</v>
      </c>
      <c r="M5" s="22" t="s">
        <v>1527</v>
      </c>
      <c r="N5" s="22" t="s">
        <v>1528</v>
      </c>
      <c r="O5" s="22">
        <v>2024</v>
      </c>
      <c r="P5" s="22" t="s">
        <v>1529</v>
      </c>
      <c r="Q5" s="22" t="s">
        <v>1530</v>
      </c>
      <c r="R5" s="22" t="s">
        <v>53</v>
      </c>
      <c r="S5" s="25">
        <v>45782</v>
      </c>
    </row>
    <row r="6" spans="1:19" ht="15.75" customHeight="1" x14ac:dyDescent="0.25">
      <c r="A6" s="18">
        <v>149</v>
      </c>
      <c r="B6" s="1" t="s">
        <v>1548</v>
      </c>
      <c r="C6" s="1" t="s">
        <v>1549</v>
      </c>
      <c r="D6" s="1" t="s">
        <v>1522</v>
      </c>
      <c r="E6" s="1">
        <v>56950507836</v>
      </c>
      <c r="F6" s="19" t="s">
        <v>1550</v>
      </c>
      <c r="G6" s="1" t="s">
        <v>1524</v>
      </c>
      <c r="H6" s="1" t="s">
        <v>1524</v>
      </c>
      <c r="I6" s="1" t="s">
        <v>1551</v>
      </c>
      <c r="K6" s="12">
        <v>45781</v>
      </c>
      <c r="L6" s="1" t="s">
        <v>1547</v>
      </c>
      <c r="M6" s="1" t="s">
        <v>1527</v>
      </c>
      <c r="N6" s="1" t="s">
        <v>1528</v>
      </c>
      <c r="O6" s="1">
        <v>2024</v>
      </c>
      <c r="P6" s="1" t="s">
        <v>1529</v>
      </c>
      <c r="Q6" s="1" t="s">
        <v>1530</v>
      </c>
      <c r="R6" s="1" t="s">
        <v>285</v>
      </c>
      <c r="S6" s="26">
        <v>45795</v>
      </c>
    </row>
    <row r="7" spans="1:19" ht="15.75" customHeight="1" x14ac:dyDescent="0.25">
      <c r="A7" s="21">
        <v>148</v>
      </c>
      <c r="B7" s="22" t="s">
        <v>1552</v>
      </c>
      <c r="C7" s="22" t="s">
        <v>1553</v>
      </c>
      <c r="D7" s="22" t="s">
        <v>1522</v>
      </c>
      <c r="E7" s="22">
        <v>958040975</v>
      </c>
      <c r="F7" s="23" t="s">
        <v>1554</v>
      </c>
      <c r="G7" s="22" t="s">
        <v>1524</v>
      </c>
      <c r="H7" s="22" t="s">
        <v>1524</v>
      </c>
      <c r="I7" s="22" t="s">
        <v>1555</v>
      </c>
      <c r="K7" s="24">
        <v>45781</v>
      </c>
      <c r="L7" s="22" t="s">
        <v>1547</v>
      </c>
      <c r="M7" s="22" t="s">
        <v>1527</v>
      </c>
      <c r="N7" s="22" t="s">
        <v>1528</v>
      </c>
      <c r="O7" s="22">
        <v>2024</v>
      </c>
      <c r="P7" s="22" t="s">
        <v>1528</v>
      </c>
    </row>
    <row r="8" spans="1:19" ht="15.75" customHeight="1" x14ac:dyDescent="0.25">
      <c r="A8" s="18">
        <v>147</v>
      </c>
      <c r="B8" s="1" t="s">
        <v>1556</v>
      </c>
      <c r="C8" s="1" t="s">
        <v>1557</v>
      </c>
      <c r="D8" s="1" t="s">
        <v>1533</v>
      </c>
      <c r="E8" s="1">
        <v>954532875</v>
      </c>
      <c r="F8" s="19" t="s">
        <v>1558</v>
      </c>
      <c r="G8" s="1" t="s">
        <v>1524</v>
      </c>
      <c r="H8" s="1" t="s">
        <v>1524</v>
      </c>
      <c r="I8" s="1" t="s">
        <v>1559</v>
      </c>
      <c r="K8" s="12">
        <v>45781</v>
      </c>
      <c r="L8" s="1" t="s">
        <v>1526</v>
      </c>
      <c r="M8" s="1" t="s">
        <v>1527</v>
      </c>
      <c r="N8" s="1" t="s">
        <v>1528</v>
      </c>
      <c r="O8" s="1">
        <v>2024</v>
      </c>
      <c r="P8" s="1" t="s">
        <v>1528</v>
      </c>
      <c r="R8" s="1" t="s">
        <v>22</v>
      </c>
    </row>
    <row r="9" spans="1:19" ht="15.75" customHeight="1" x14ac:dyDescent="0.25">
      <c r="A9" s="21">
        <v>146</v>
      </c>
      <c r="B9" s="22">
        <v>109882623</v>
      </c>
      <c r="C9" s="22" t="s">
        <v>1560</v>
      </c>
      <c r="D9" s="22" t="s">
        <v>1522</v>
      </c>
      <c r="E9" s="22">
        <v>56991606982</v>
      </c>
      <c r="F9" s="23" t="s">
        <v>1561</v>
      </c>
      <c r="G9" s="22" t="s">
        <v>1524</v>
      </c>
      <c r="H9" s="22" t="s">
        <v>1524</v>
      </c>
      <c r="I9" s="22" t="s">
        <v>1562</v>
      </c>
      <c r="K9" s="24">
        <v>45781</v>
      </c>
      <c r="L9" s="22" t="s">
        <v>1547</v>
      </c>
      <c r="M9" s="22" t="s">
        <v>1527</v>
      </c>
      <c r="N9" s="22" t="s">
        <v>1528</v>
      </c>
      <c r="O9" s="22">
        <v>2024</v>
      </c>
      <c r="P9" s="22" t="s">
        <v>1529</v>
      </c>
      <c r="R9" s="22" t="s">
        <v>31</v>
      </c>
      <c r="S9" s="27">
        <v>45795</v>
      </c>
    </row>
    <row r="10" spans="1:19" ht="15.75" customHeight="1" x14ac:dyDescent="0.25">
      <c r="A10" s="18">
        <v>145</v>
      </c>
      <c r="B10" s="1">
        <v>193274048</v>
      </c>
      <c r="C10" s="1" t="s">
        <v>1563</v>
      </c>
      <c r="D10" s="1" t="s">
        <v>1533</v>
      </c>
      <c r="E10" s="1">
        <v>98552616</v>
      </c>
      <c r="F10" s="19" t="s">
        <v>1564</v>
      </c>
      <c r="G10" s="1" t="s">
        <v>1524</v>
      </c>
      <c r="H10" s="1" t="s">
        <v>1524</v>
      </c>
      <c r="I10" s="1" t="s">
        <v>1565</v>
      </c>
      <c r="K10" s="12">
        <v>45781</v>
      </c>
      <c r="L10" s="1" t="s">
        <v>1526</v>
      </c>
      <c r="M10" s="1" t="s">
        <v>1527</v>
      </c>
      <c r="N10" s="1" t="s">
        <v>1528</v>
      </c>
      <c r="O10" s="1">
        <v>2024</v>
      </c>
      <c r="P10" s="1" t="s">
        <v>1529</v>
      </c>
    </row>
    <row r="11" spans="1:19" ht="15.75" customHeight="1" x14ac:dyDescent="0.25">
      <c r="A11" s="21">
        <v>144</v>
      </c>
      <c r="B11" s="22" t="s">
        <v>1566</v>
      </c>
      <c r="C11" s="22" t="s">
        <v>1567</v>
      </c>
      <c r="D11" s="22" t="s">
        <v>1533</v>
      </c>
      <c r="E11" s="22">
        <v>995793793</v>
      </c>
      <c r="F11" s="23" t="s">
        <v>1568</v>
      </c>
      <c r="G11" s="22" t="s">
        <v>1524</v>
      </c>
      <c r="H11" s="22" t="s">
        <v>1524</v>
      </c>
      <c r="I11" s="22" t="s">
        <v>1569</v>
      </c>
      <c r="K11" s="24">
        <v>45781</v>
      </c>
      <c r="L11" s="22" t="s">
        <v>1547</v>
      </c>
      <c r="M11" s="22" t="s">
        <v>1527</v>
      </c>
      <c r="N11" s="22" t="s">
        <v>1528</v>
      </c>
      <c r="O11" s="22">
        <v>2024</v>
      </c>
      <c r="P11" s="22" t="s">
        <v>1528</v>
      </c>
      <c r="R11" s="22" t="s">
        <v>31</v>
      </c>
    </row>
    <row r="12" spans="1:19" ht="15.75" customHeight="1" x14ac:dyDescent="0.25">
      <c r="A12" s="21">
        <v>142</v>
      </c>
      <c r="B12" s="22" t="s">
        <v>1571</v>
      </c>
      <c r="C12" s="22" t="s">
        <v>1572</v>
      </c>
      <c r="D12" s="22" t="s">
        <v>1522</v>
      </c>
      <c r="E12" s="22">
        <v>992935741</v>
      </c>
      <c r="F12" s="23" t="s">
        <v>1573</v>
      </c>
      <c r="G12" s="22" t="s">
        <v>1524</v>
      </c>
      <c r="H12" s="22" t="s">
        <v>1524</v>
      </c>
      <c r="I12" s="22" t="s">
        <v>1574</v>
      </c>
      <c r="K12" s="24">
        <v>45781</v>
      </c>
      <c r="L12" s="22" t="s">
        <v>1547</v>
      </c>
      <c r="M12" s="22" t="s">
        <v>1527</v>
      </c>
      <c r="N12" s="22" t="s">
        <v>1528</v>
      </c>
      <c r="O12" s="22">
        <v>2024</v>
      </c>
      <c r="P12" s="22" t="s">
        <v>1528</v>
      </c>
      <c r="R12" s="22" t="s">
        <v>31</v>
      </c>
    </row>
    <row r="13" spans="1:19" ht="15.75" customHeight="1" x14ac:dyDescent="0.25">
      <c r="A13" s="28">
        <v>137</v>
      </c>
      <c r="B13" s="29">
        <v>167871208</v>
      </c>
      <c r="C13" s="29" t="s">
        <v>1575</v>
      </c>
      <c r="D13" s="29" t="s">
        <v>1533</v>
      </c>
      <c r="E13" s="29">
        <v>989742097</v>
      </c>
      <c r="F13" s="30" t="s">
        <v>1576</v>
      </c>
      <c r="G13" s="29" t="s">
        <v>1524</v>
      </c>
      <c r="H13" s="29" t="s">
        <v>1524</v>
      </c>
      <c r="I13" s="29" t="s">
        <v>1577</v>
      </c>
      <c r="K13" s="31">
        <v>45776</v>
      </c>
      <c r="L13" s="29" t="s">
        <v>1547</v>
      </c>
      <c r="M13" s="29" t="s">
        <v>1527</v>
      </c>
      <c r="N13" s="29" t="s">
        <v>1528</v>
      </c>
      <c r="O13" s="29">
        <v>2024</v>
      </c>
      <c r="P13" s="29" t="s">
        <v>1529</v>
      </c>
      <c r="Q13" s="29" t="s">
        <v>1530</v>
      </c>
      <c r="R13" s="29" t="s">
        <v>31</v>
      </c>
      <c r="S13" s="32">
        <v>45793</v>
      </c>
    </row>
  </sheetData>
  <dataValidations count="5">
    <dataValidation type="custom" allowBlank="1" showDropDown="1" sqref="K2:K13" xr:uid="{00000000-0002-0000-0100-000000000000}">
      <formula1>OR(NOT(ISERROR(DATEVALUE(K2))), AND(ISNUMBER(K2), LEFT(CELL("format", K2))="D"))</formula1>
    </dataValidation>
    <dataValidation type="custom" allowBlank="1" showDropDown="1" sqref="O2:O13 E2:E13 A2:A13" xr:uid="{00000000-0002-0000-0100-000001000000}">
      <formula1>AND(ISNUMBER(A2),(NOT(OR(NOT(ISERROR(DATEVALUE(A2))), AND(ISNUMBER(A2), LEFT(CELL("format", A2))="D")))))</formula1>
    </dataValidation>
    <dataValidation type="list" allowBlank="1" showDropDown="1" showErrorMessage="1" sqref="D2:D13" xr:uid="{00000000-0002-0000-0100-000002000000}">
      <formula1>"Male,Female"</formula1>
    </dataValidation>
    <dataValidation type="list" allowBlank="1" showDropDown="1" showErrorMessage="1" sqref="P2:P13" xr:uid="{00000000-0002-0000-0100-000003000000}">
      <formula1>"NO,YES"</formula1>
    </dataValidation>
    <dataValidation type="list" allowBlank="1" showDropDown="1" showErrorMessage="1" sqref="L2:L13" xr:uid="{00000000-0002-0000-0100-000004000000}">
      <formula1>"5000.00,10000.00"</formula1>
    </dataValidation>
  </dataValidations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B000000}"/>
    <hyperlink ref="F13" r:id="rId12" xr:uid="{00000000-0004-0000-0100-00000C000000}"/>
  </hyperlinks>
  <pageMargins left="0.7" right="0.7" top="0.75" bottom="0.75" header="0.3" footer="0.3"/>
  <tableParts count="1"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199"/>
  <sheetViews>
    <sheetView topLeftCell="S63" zoomScale="90" zoomScaleNormal="90" workbookViewId="0">
      <selection activeCell="AD85" sqref="AD85"/>
    </sheetView>
  </sheetViews>
  <sheetFormatPr baseColWidth="10" defaultColWidth="12.6328125" defaultRowHeight="15.75" customHeight="1" x14ac:dyDescent="0.25"/>
  <cols>
    <col min="1" max="1" width="9.26953125" customWidth="1"/>
    <col min="2" max="2" width="44.90625" customWidth="1"/>
    <col min="3" max="3" width="6.7265625" customWidth="1"/>
    <col min="4" max="4" width="56.08984375" customWidth="1"/>
    <col min="5" max="5" width="5.6328125" customWidth="1"/>
    <col min="6" max="6" width="31.26953125" customWidth="1"/>
    <col min="7" max="7" width="6.6328125" customWidth="1"/>
    <col min="8" max="8" width="40.90625" customWidth="1"/>
    <col min="9" max="9" width="8.08984375" customWidth="1"/>
    <col min="10" max="10" width="43.6328125" customWidth="1"/>
    <col min="11" max="11" width="7" customWidth="1"/>
    <col min="12" max="12" width="31.08984375" customWidth="1"/>
    <col min="13" max="13" width="6.36328125" customWidth="1"/>
    <col min="14" max="14" width="31.36328125" customWidth="1"/>
    <col min="15" max="15" width="2.90625" customWidth="1"/>
    <col min="16" max="16" width="36.90625" customWidth="1"/>
    <col min="17" max="17" width="5.08984375" customWidth="1"/>
    <col min="18" max="18" width="39.7265625" customWidth="1"/>
    <col min="19" max="19" width="6.453125" customWidth="1"/>
    <col min="20" max="20" width="36.90625" customWidth="1"/>
    <col min="21" max="21" width="5.6328125" customWidth="1"/>
    <col min="22" max="22" width="30.26953125" customWidth="1"/>
    <col min="23" max="23" width="5.453125" customWidth="1"/>
    <col min="24" max="24" width="28.6328125" customWidth="1"/>
    <col min="25" max="25" width="3.26953125" customWidth="1"/>
    <col min="26" max="26" width="29.6328125" customWidth="1"/>
    <col min="27" max="27" width="5.90625" customWidth="1"/>
    <col min="28" max="28" width="34.7265625" customWidth="1"/>
    <col min="29" max="29" width="3.7265625" customWidth="1"/>
    <col min="30" max="30" width="38.6328125" customWidth="1"/>
    <col min="31" max="31" width="5.36328125" customWidth="1"/>
    <col min="32" max="32" width="40.6328125" bestFit="1" customWidth="1"/>
    <col min="33" max="33" width="40.7265625" customWidth="1"/>
  </cols>
  <sheetData>
    <row r="1" spans="1:33" ht="14" x14ac:dyDescent="0.3">
      <c r="A1" s="33"/>
      <c r="B1" s="33">
        <v>45788</v>
      </c>
      <c r="C1" s="33"/>
      <c r="D1" s="34">
        <v>45789</v>
      </c>
      <c r="E1" s="34"/>
      <c r="F1" s="34">
        <v>45791</v>
      </c>
      <c r="G1" s="34"/>
      <c r="H1" s="34">
        <v>45792</v>
      </c>
      <c r="I1" s="34"/>
      <c r="J1" s="34">
        <v>45793</v>
      </c>
      <c r="K1" s="34"/>
      <c r="L1" s="34">
        <v>45794</v>
      </c>
      <c r="M1" s="34"/>
      <c r="N1" s="34">
        <v>45795</v>
      </c>
      <c r="P1" s="34">
        <v>45796</v>
      </c>
      <c r="R1" s="34">
        <v>45797</v>
      </c>
      <c r="T1" s="34">
        <v>45798</v>
      </c>
      <c r="V1" s="34">
        <v>45799</v>
      </c>
      <c r="X1" s="34">
        <v>45800</v>
      </c>
      <c r="Z1" s="34">
        <v>45800</v>
      </c>
      <c r="AB1" s="34">
        <v>45800</v>
      </c>
      <c r="AD1" s="34">
        <v>45801</v>
      </c>
      <c r="AF1" s="34">
        <v>45801</v>
      </c>
    </row>
    <row r="2" spans="1:33" ht="15.75" customHeight="1" x14ac:dyDescent="0.25">
      <c r="A2" s="35"/>
      <c r="B2" s="35" t="s">
        <v>1578</v>
      </c>
      <c r="C2" s="35"/>
      <c r="D2" s="35" t="s">
        <v>1578</v>
      </c>
      <c r="E2" s="35"/>
      <c r="F2" s="35" t="s">
        <v>1578</v>
      </c>
      <c r="G2" s="35"/>
      <c r="H2" s="35" t="s">
        <v>1578</v>
      </c>
      <c r="I2" s="35"/>
      <c r="J2" s="35" t="s">
        <v>1578</v>
      </c>
      <c r="K2" s="35"/>
      <c r="L2" s="35" t="s">
        <v>1578</v>
      </c>
      <c r="M2" s="35"/>
      <c r="N2" s="35" t="s">
        <v>1578</v>
      </c>
      <c r="P2" s="35" t="s">
        <v>1578</v>
      </c>
      <c r="R2" s="35" t="s">
        <v>1578</v>
      </c>
      <c r="T2" s="35" t="s">
        <v>1578</v>
      </c>
      <c r="V2" s="35" t="s">
        <v>1578</v>
      </c>
      <c r="X2" s="35" t="s">
        <v>1578</v>
      </c>
      <c r="Z2" s="35" t="s">
        <v>1578</v>
      </c>
      <c r="AB2" s="35" t="s">
        <v>1578</v>
      </c>
      <c r="AD2" t="s">
        <v>1578</v>
      </c>
      <c r="AF2" t="s">
        <v>1578</v>
      </c>
    </row>
    <row r="3" spans="1:33" ht="15.75" customHeight="1" x14ac:dyDescent="0.25">
      <c r="A3" s="36">
        <v>1</v>
      </c>
      <c r="B3" s="36" t="s">
        <v>1579</v>
      </c>
      <c r="C3" s="36">
        <v>1</v>
      </c>
      <c r="D3" s="36" t="s">
        <v>1580</v>
      </c>
      <c r="E3" s="36"/>
      <c r="F3" s="36" t="s">
        <v>1581</v>
      </c>
      <c r="G3" s="37"/>
      <c r="H3" s="37" t="s">
        <v>1582</v>
      </c>
      <c r="I3" s="36"/>
      <c r="J3" s="36" t="s">
        <v>1583</v>
      </c>
      <c r="K3" s="35"/>
      <c r="L3" s="36" t="s">
        <v>1583</v>
      </c>
      <c r="M3" s="35"/>
      <c r="N3" s="36" t="s">
        <v>1584</v>
      </c>
      <c r="P3" s="36" t="s">
        <v>1585</v>
      </c>
      <c r="R3" s="36" t="s">
        <v>1586</v>
      </c>
      <c r="T3" s="36" t="s">
        <v>1587</v>
      </c>
      <c r="U3" s="35">
        <v>1</v>
      </c>
      <c r="V3" s="36" t="s">
        <v>1585</v>
      </c>
      <c r="X3" s="36" t="s">
        <v>1588</v>
      </c>
      <c r="Z3" s="36" t="s">
        <v>1589</v>
      </c>
      <c r="AB3" s="36" t="s">
        <v>1590</v>
      </c>
      <c r="AD3" s="65" t="s">
        <v>1794</v>
      </c>
      <c r="AF3" s="95" t="s">
        <v>1781</v>
      </c>
    </row>
    <row r="4" spans="1:33" ht="15.75" customHeight="1" x14ac:dyDescent="0.25">
      <c r="A4" s="36"/>
      <c r="B4" s="36" t="s">
        <v>1591</v>
      </c>
      <c r="C4" s="36"/>
      <c r="D4" s="36" t="s">
        <v>1591</v>
      </c>
      <c r="E4" s="36"/>
      <c r="F4" s="36" t="s">
        <v>1591</v>
      </c>
      <c r="G4" s="38"/>
      <c r="H4" s="38" t="s">
        <v>1591</v>
      </c>
      <c r="I4" s="36"/>
      <c r="J4" s="36" t="s">
        <v>1591</v>
      </c>
      <c r="K4" s="35"/>
      <c r="L4" s="36" t="s">
        <v>1591</v>
      </c>
      <c r="M4" s="35"/>
      <c r="N4" s="36" t="s">
        <v>1591</v>
      </c>
      <c r="P4" s="36" t="s">
        <v>1591</v>
      </c>
      <c r="R4" s="36" t="s">
        <v>1591</v>
      </c>
      <c r="T4" s="36" t="s">
        <v>1591</v>
      </c>
      <c r="V4" s="36" t="s">
        <v>1592</v>
      </c>
      <c r="X4" s="36" t="s">
        <v>1593</v>
      </c>
      <c r="Z4" s="36" t="s">
        <v>1591</v>
      </c>
      <c r="AB4" s="36" t="s">
        <v>1591</v>
      </c>
      <c r="AD4" s="65" t="s">
        <v>1591</v>
      </c>
      <c r="AF4" s="95" t="s">
        <v>1591</v>
      </c>
      <c r="AG4" s="61"/>
    </row>
    <row r="5" spans="1:33" ht="15.75" customHeight="1" x14ac:dyDescent="0.25">
      <c r="A5" s="39"/>
      <c r="B5" s="39">
        <v>10000</v>
      </c>
      <c r="C5" s="39"/>
      <c r="D5" s="39">
        <v>5000</v>
      </c>
      <c r="E5" s="39"/>
      <c r="F5" s="39">
        <v>10000</v>
      </c>
      <c r="G5" s="40"/>
      <c r="H5" s="40">
        <v>10000</v>
      </c>
      <c r="I5" s="39"/>
      <c r="J5" s="39">
        <v>10000</v>
      </c>
      <c r="K5" s="41"/>
      <c r="L5" s="39">
        <v>10000</v>
      </c>
      <c r="M5" s="41"/>
      <c r="N5" s="39">
        <v>10000</v>
      </c>
      <c r="P5" s="39">
        <v>10000</v>
      </c>
      <c r="R5" s="39">
        <v>10000</v>
      </c>
      <c r="T5" s="39">
        <v>10000</v>
      </c>
      <c r="V5" s="39">
        <v>10000</v>
      </c>
      <c r="X5" s="39">
        <v>15000</v>
      </c>
      <c r="Z5" s="39">
        <v>10000</v>
      </c>
      <c r="AB5" s="39">
        <v>5000</v>
      </c>
      <c r="AD5" s="66">
        <v>30000</v>
      </c>
      <c r="AF5" s="96">
        <v>10000</v>
      </c>
    </row>
    <row r="6" spans="1:33" ht="15.75" customHeight="1" x14ac:dyDescent="0.25">
      <c r="A6" s="35"/>
      <c r="B6" s="35" t="s">
        <v>1578</v>
      </c>
      <c r="D6" s="35" t="s">
        <v>1578</v>
      </c>
      <c r="E6" s="35"/>
      <c r="F6" s="35" t="s">
        <v>1578</v>
      </c>
      <c r="G6" s="42"/>
      <c r="H6" s="42" t="s">
        <v>1578</v>
      </c>
      <c r="I6" s="35"/>
      <c r="J6" s="35" t="s">
        <v>1578</v>
      </c>
      <c r="K6" s="35"/>
      <c r="L6" s="35" t="s">
        <v>1578</v>
      </c>
      <c r="M6" s="35"/>
      <c r="N6" s="35" t="s">
        <v>1578</v>
      </c>
      <c r="P6" s="35" t="s">
        <v>1578</v>
      </c>
      <c r="R6" s="35" t="s">
        <v>1578</v>
      </c>
      <c r="T6" s="35" t="s">
        <v>1578</v>
      </c>
      <c r="V6" s="35" t="s">
        <v>1578</v>
      </c>
      <c r="Z6" s="35" t="s">
        <v>1578</v>
      </c>
      <c r="AB6" s="35" t="s">
        <v>1578</v>
      </c>
      <c r="AD6" t="s">
        <v>1578</v>
      </c>
      <c r="AF6" t="s">
        <v>1578</v>
      </c>
    </row>
    <row r="7" spans="1:33" ht="15.75" customHeight="1" x14ac:dyDescent="0.25">
      <c r="A7" s="36">
        <v>2</v>
      </c>
      <c r="B7" s="36" t="s">
        <v>1594</v>
      </c>
      <c r="C7" s="35">
        <v>2</v>
      </c>
      <c r="D7" s="36" t="s">
        <v>1595</v>
      </c>
      <c r="E7" s="36"/>
      <c r="F7" s="36" t="s">
        <v>1596</v>
      </c>
      <c r="G7" s="37"/>
      <c r="H7" s="37" t="s">
        <v>1597</v>
      </c>
      <c r="I7" s="36"/>
      <c r="J7" s="36" t="s">
        <v>1598</v>
      </c>
      <c r="K7" s="35"/>
      <c r="L7" s="36" t="s">
        <v>1599</v>
      </c>
      <c r="M7" s="35"/>
      <c r="N7" s="36" t="s">
        <v>1600</v>
      </c>
      <c r="P7" s="36" t="s">
        <v>1601</v>
      </c>
      <c r="R7" s="36" t="s">
        <v>1602</v>
      </c>
      <c r="T7" s="36" t="s">
        <v>1603</v>
      </c>
      <c r="U7" s="35">
        <v>2</v>
      </c>
      <c r="V7" s="36" t="s">
        <v>1604</v>
      </c>
      <c r="Z7" s="36" t="s">
        <v>1605</v>
      </c>
      <c r="AB7" s="36" t="s">
        <v>1606</v>
      </c>
      <c r="AD7" s="95" t="s">
        <v>1795</v>
      </c>
      <c r="AF7" s="95" t="s">
        <v>1814</v>
      </c>
    </row>
    <row r="8" spans="1:33" ht="15.75" customHeight="1" x14ac:dyDescent="0.25">
      <c r="A8" s="36"/>
      <c r="B8" s="36" t="s">
        <v>1591</v>
      </c>
      <c r="C8" s="43"/>
      <c r="D8" s="36" t="s">
        <v>1591</v>
      </c>
      <c r="E8" s="36"/>
      <c r="F8" s="36" t="s">
        <v>1591</v>
      </c>
      <c r="G8" s="38"/>
      <c r="H8" s="38" t="s">
        <v>1591</v>
      </c>
      <c r="I8" s="36"/>
      <c r="J8" s="36" t="s">
        <v>1591</v>
      </c>
      <c r="K8" s="35"/>
      <c r="L8" s="36" t="s">
        <v>1591</v>
      </c>
      <c r="M8" s="35"/>
      <c r="N8" s="36" t="s">
        <v>1591</v>
      </c>
      <c r="P8" s="36" t="s">
        <v>1607</v>
      </c>
      <c r="R8" s="36" t="s">
        <v>1608</v>
      </c>
      <c r="T8" s="36" t="s">
        <v>1609</v>
      </c>
      <c r="V8" s="36" t="s">
        <v>1591</v>
      </c>
      <c r="Z8" s="36" t="s">
        <v>1591</v>
      </c>
      <c r="AB8" s="36" t="s">
        <v>1591</v>
      </c>
      <c r="AD8" s="101" t="s">
        <v>1831</v>
      </c>
      <c r="AF8" s="95" t="s">
        <v>1591</v>
      </c>
    </row>
    <row r="9" spans="1:33" ht="13" x14ac:dyDescent="0.3">
      <c r="A9" s="39"/>
      <c r="B9" s="39">
        <v>10000</v>
      </c>
      <c r="D9" s="39">
        <v>10000</v>
      </c>
      <c r="E9" s="39"/>
      <c r="F9" s="39">
        <v>10000</v>
      </c>
      <c r="G9" s="40"/>
      <c r="H9" s="40">
        <v>20000</v>
      </c>
      <c r="I9" s="39"/>
      <c r="J9" s="39">
        <v>10000</v>
      </c>
      <c r="K9" s="41"/>
      <c r="L9" s="39">
        <v>10000</v>
      </c>
      <c r="M9" s="41"/>
      <c r="N9" s="39">
        <v>5000</v>
      </c>
      <c r="P9" s="44">
        <v>10000</v>
      </c>
      <c r="R9" s="39">
        <v>5000</v>
      </c>
      <c r="T9" s="39">
        <v>10000</v>
      </c>
      <c r="V9" s="39">
        <v>25000</v>
      </c>
      <c r="X9" s="41"/>
      <c r="Z9" s="39">
        <v>10000</v>
      </c>
      <c r="AB9" s="39">
        <v>15000</v>
      </c>
      <c r="AD9" s="96">
        <v>10000</v>
      </c>
      <c r="AF9" s="96">
        <v>3000</v>
      </c>
    </row>
    <row r="10" spans="1:33" ht="15.75" customHeight="1" x14ac:dyDescent="0.25">
      <c r="A10" s="35"/>
      <c r="B10" s="35" t="s">
        <v>1578</v>
      </c>
      <c r="D10" s="35" t="s">
        <v>1578</v>
      </c>
      <c r="E10" s="36"/>
      <c r="F10" s="36" t="s">
        <v>1578</v>
      </c>
      <c r="G10" s="42"/>
      <c r="H10" s="42" t="s">
        <v>1578</v>
      </c>
      <c r="I10" s="35"/>
      <c r="J10" s="35" t="s">
        <v>1578</v>
      </c>
      <c r="K10" s="35"/>
      <c r="L10" s="35" t="s">
        <v>1578</v>
      </c>
      <c r="N10" s="35" t="s">
        <v>1578</v>
      </c>
      <c r="P10" s="35" t="s">
        <v>1578</v>
      </c>
      <c r="R10" s="35" t="s">
        <v>1578</v>
      </c>
      <c r="T10" s="35" t="s">
        <v>1578</v>
      </c>
      <c r="V10" s="35" t="s">
        <v>1578</v>
      </c>
      <c r="X10" s="36" t="s">
        <v>1578</v>
      </c>
      <c r="Z10" s="35" t="s">
        <v>1578</v>
      </c>
      <c r="AB10" s="35" t="s">
        <v>1578</v>
      </c>
      <c r="AD10" t="s">
        <v>1578</v>
      </c>
      <c r="AF10" t="s">
        <v>1578</v>
      </c>
    </row>
    <row r="11" spans="1:33" ht="15.75" customHeight="1" x14ac:dyDescent="0.25">
      <c r="A11" s="36"/>
      <c r="B11" s="36" t="s">
        <v>1610</v>
      </c>
      <c r="C11" s="41">
        <v>3</v>
      </c>
      <c r="D11" s="36" t="s">
        <v>1611</v>
      </c>
      <c r="E11" s="36"/>
      <c r="F11" s="36" t="s">
        <v>1612</v>
      </c>
      <c r="G11" s="37"/>
      <c r="H11" s="37" t="s">
        <v>1613</v>
      </c>
      <c r="I11" s="36"/>
      <c r="J11" s="36" t="s">
        <v>1614</v>
      </c>
      <c r="K11" s="35"/>
      <c r="L11" s="36" t="s">
        <v>1615</v>
      </c>
      <c r="M11" s="41"/>
      <c r="N11" s="36" t="s">
        <v>1596</v>
      </c>
      <c r="P11" s="36" t="s">
        <v>1616</v>
      </c>
      <c r="R11" s="36" t="s">
        <v>1602</v>
      </c>
      <c r="T11" s="36" t="s">
        <v>1617</v>
      </c>
      <c r="U11" s="35">
        <v>3</v>
      </c>
      <c r="V11" s="36" t="s">
        <v>1618</v>
      </c>
      <c r="X11" s="36" t="s">
        <v>1619</v>
      </c>
      <c r="Z11" s="36" t="s">
        <v>1620</v>
      </c>
      <c r="AB11" s="36" t="s">
        <v>1621</v>
      </c>
      <c r="AD11" s="95" t="s">
        <v>1796</v>
      </c>
      <c r="AF11" s="95" t="s">
        <v>1815</v>
      </c>
      <c r="AG11" s="61"/>
    </row>
    <row r="12" spans="1:33" ht="15.75" customHeight="1" x14ac:dyDescent="0.25">
      <c r="A12" s="36"/>
      <c r="B12" s="36" t="s">
        <v>1591</v>
      </c>
      <c r="D12" s="36" t="s">
        <v>1591</v>
      </c>
      <c r="E12" s="36"/>
      <c r="F12" s="36" t="s">
        <v>1591</v>
      </c>
      <c r="G12" s="38"/>
      <c r="H12" s="38" t="s">
        <v>1591</v>
      </c>
      <c r="I12" s="36"/>
      <c r="J12" s="36" t="s">
        <v>1591</v>
      </c>
      <c r="K12" s="35"/>
      <c r="L12" s="36" t="s">
        <v>1591</v>
      </c>
      <c r="N12" s="36" t="s">
        <v>1591</v>
      </c>
      <c r="P12" s="36" t="s">
        <v>1591</v>
      </c>
      <c r="R12" s="36" t="s">
        <v>1622</v>
      </c>
      <c r="T12" s="36" t="s">
        <v>1591</v>
      </c>
      <c r="V12" s="36" t="s">
        <v>1591</v>
      </c>
      <c r="X12" s="36" t="s">
        <v>1591</v>
      </c>
      <c r="Z12" s="36" t="s">
        <v>1591</v>
      </c>
      <c r="AB12" s="36" t="s">
        <v>1623</v>
      </c>
      <c r="AD12" s="95" t="s">
        <v>1591</v>
      </c>
      <c r="AF12" s="95" t="s">
        <v>1591</v>
      </c>
    </row>
    <row r="13" spans="1:33" ht="15.75" customHeight="1" x14ac:dyDescent="0.25">
      <c r="A13" s="39"/>
      <c r="B13" s="39">
        <v>10000</v>
      </c>
      <c r="D13" s="39">
        <v>5000</v>
      </c>
      <c r="E13" s="39"/>
      <c r="F13" s="39">
        <v>10000</v>
      </c>
      <c r="G13" s="40"/>
      <c r="H13" s="40">
        <v>5000</v>
      </c>
      <c r="I13" s="39"/>
      <c r="J13" s="39">
        <v>10000</v>
      </c>
      <c r="K13" s="41"/>
      <c r="L13" s="39">
        <v>5000</v>
      </c>
      <c r="N13" s="39">
        <v>10000</v>
      </c>
      <c r="P13" s="39">
        <v>5000</v>
      </c>
      <c r="R13" s="39">
        <v>10000</v>
      </c>
      <c r="T13" s="39">
        <v>10000</v>
      </c>
      <c r="V13" s="39">
        <v>10000</v>
      </c>
      <c r="X13" s="39">
        <v>10000</v>
      </c>
      <c r="Z13" s="39">
        <v>15000</v>
      </c>
      <c r="AB13" s="39">
        <v>5000</v>
      </c>
      <c r="AD13" s="96">
        <v>10000</v>
      </c>
      <c r="AF13" s="96">
        <v>7000</v>
      </c>
    </row>
    <row r="14" spans="1:33" ht="14" x14ac:dyDescent="0.3">
      <c r="A14" s="35"/>
      <c r="B14" s="35" t="s">
        <v>1578</v>
      </c>
      <c r="C14" s="43"/>
      <c r="D14" s="34">
        <v>45790</v>
      </c>
      <c r="E14" s="36"/>
      <c r="F14" s="36" t="s">
        <v>1578</v>
      </c>
      <c r="G14" s="42"/>
      <c r="H14" s="42" t="s">
        <v>1578</v>
      </c>
      <c r="I14" s="35"/>
      <c r="J14" s="35" t="s">
        <v>1578</v>
      </c>
      <c r="K14" s="35"/>
      <c r="L14" s="35" t="s">
        <v>1578</v>
      </c>
      <c r="M14" s="43"/>
      <c r="N14" s="35" t="s">
        <v>1578</v>
      </c>
      <c r="P14" s="35" t="s">
        <v>1578</v>
      </c>
      <c r="R14" s="35" t="s">
        <v>1578</v>
      </c>
      <c r="T14" s="35" t="s">
        <v>1578</v>
      </c>
      <c r="V14" s="35" t="s">
        <v>1578</v>
      </c>
      <c r="Z14" s="35" t="s">
        <v>1578</v>
      </c>
      <c r="AB14" s="35" t="s">
        <v>1578</v>
      </c>
      <c r="AC14" s="41"/>
      <c r="AD14" t="s">
        <v>1578</v>
      </c>
      <c r="AF14" t="s">
        <v>1578</v>
      </c>
      <c r="AG14" s="62"/>
    </row>
    <row r="15" spans="1:33" ht="15.75" customHeight="1" x14ac:dyDescent="0.25">
      <c r="A15" s="36">
        <v>3</v>
      </c>
      <c r="B15" s="36" t="s">
        <v>1624</v>
      </c>
      <c r="C15" s="35">
        <v>4</v>
      </c>
      <c r="D15" s="36" t="s">
        <v>1625</v>
      </c>
      <c r="E15" s="36"/>
      <c r="F15" s="36" t="s">
        <v>1626</v>
      </c>
      <c r="G15" s="37"/>
      <c r="H15" s="37" t="s">
        <v>1627</v>
      </c>
      <c r="I15" s="36"/>
      <c r="J15" s="36" t="s">
        <v>1628</v>
      </c>
      <c r="K15" s="35"/>
      <c r="L15" s="36" t="s">
        <v>1629</v>
      </c>
      <c r="N15" s="36" t="s">
        <v>1630</v>
      </c>
      <c r="P15" s="36" t="s">
        <v>1627</v>
      </c>
      <c r="R15" s="36" t="s">
        <v>1631</v>
      </c>
      <c r="T15" s="36" t="s">
        <v>1632</v>
      </c>
      <c r="U15" s="35">
        <v>4</v>
      </c>
      <c r="V15" s="36" t="s">
        <v>1633</v>
      </c>
      <c r="Z15" s="36" t="s">
        <v>1634</v>
      </c>
      <c r="AB15" s="10" t="s">
        <v>1635</v>
      </c>
      <c r="AD15" s="95" t="s">
        <v>1797</v>
      </c>
      <c r="AF15" s="65" t="s">
        <v>1816</v>
      </c>
    </row>
    <row r="16" spans="1:33" ht="15.75" customHeight="1" x14ac:dyDescent="0.25">
      <c r="A16" s="36"/>
      <c r="B16" s="36" t="s">
        <v>1591</v>
      </c>
      <c r="D16" s="36" t="s">
        <v>1591</v>
      </c>
      <c r="E16" s="36"/>
      <c r="F16" s="36" t="s">
        <v>1591</v>
      </c>
      <c r="G16" s="38"/>
      <c r="H16" s="38" t="s">
        <v>1591</v>
      </c>
      <c r="I16" s="36"/>
      <c r="J16" s="36" t="s">
        <v>1591</v>
      </c>
      <c r="K16" s="35"/>
      <c r="L16" s="36" t="s">
        <v>1591</v>
      </c>
      <c r="N16" s="36" t="s">
        <v>1591</v>
      </c>
      <c r="P16" s="36" t="s">
        <v>1636</v>
      </c>
      <c r="R16" s="36" t="s">
        <v>1637</v>
      </c>
      <c r="T16" s="36" t="s">
        <v>1591</v>
      </c>
      <c r="V16" s="36" t="s">
        <v>1591</v>
      </c>
      <c r="Z16" s="36" t="s">
        <v>1638</v>
      </c>
      <c r="AB16" s="10" t="s">
        <v>1639</v>
      </c>
      <c r="AD16" s="95" t="s">
        <v>1591</v>
      </c>
      <c r="AF16" s="65" t="s">
        <v>1591</v>
      </c>
    </row>
    <row r="17" spans="1:33" ht="15.75" customHeight="1" x14ac:dyDescent="0.25">
      <c r="A17" s="39"/>
      <c r="B17" s="39">
        <v>5000</v>
      </c>
      <c r="D17" s="39">
        <v>5000</v>
      </c>
      <c r="E17" s="39"/>
      <c r="F17" s="39">
        <v>10000</v>
      </c>
      <c r="G17" s="40"/>
      <c r="H17" s="40">
        <v>10000</v>
      </c>
      <c r="I17" s="39"/>
      <c r="J17" s="39">
        <v>5000</v>
      </c>
      <c r="K17" s="41"/>
      <c r="L17" s="39">
        <v>5000</v>
      </c>
      <c r="N17" s="39">
        <v>5000</v>
      </c>
      <c r="P17" s="39">
        <v>10000</v>
      </c>
      <c r="R17" s="39">
        <v>20000</v>
      </c>
      <c r="T17" s="39">
        <v>10000</v>
      </c>
      <c r="V17" s="39">
        <v>10000</v>
      </c>
      <c r="X17" s="41"/>
      <c r="Z17" s="39">
        <v>5000</v>
      </c>
      <c r="AB17" s="45">
        <v>10000</v>
      </c>
      <c r="AC17" s="43"/>
      <c r="AD17" s="96">
        <v>10000</v>
      </c>
      <c r="AF17" s="66">
        <v>10500</v>
      </c>
    </row>
    <row r="18" spans="1:33" ht="15.75" customHeight="1" x14ac:dyDescent="0.25">
      <c r="A18" s="35"/>
      <c r="B18" s="35" t="s">
        <v>1640</v>
      </c>
      <c r="C18" s="35">
        <v>5</v>
      </c>
      <c r="D18" s="36" t="s">
        <v>1625</v>
      </c>
      <c r="E18" s="36"/>
      <c r="F18" s="36" t="s">
        <v>1578</v>
      </c>
      <c r="G18" s="42"/>
      <c r="H18" s="42" t="s">
        <v>1578</v>
      </c>
      <c r="I18" s="35"/>
      <c r="J18" s="35" t="s">
        <v>1578</v>
      </c>
      <c r="K18" s="35"/>
      <c r="L18" s="35" t="s">
        <v>1578</v>
      </c>
      <c r="N18" s="35" t="s">
        <v>1578</v>
      </c>
      <c r="P18" s="35" t="s">
        <v>1578</v>
      </c>
      <c r="R18" s="35" t="s">
        <v>1578</v>
      </c>
      <c r="T18" s="35" t="s">
        <v>1578</v>
      </c>
      <c r="V18" s="35" t="s">
        <v>1578</v>
      </c>
      <c r="X18" s="35" t="s">
        <v>1578</v>
      </c>
      <c r="Z18" s="35" t="s">
        <v>1578</v>
      </c>
      <c r="AB18" s="35" t="s">
        <v>1578</v>
      </c>
      <c r="AD18" t="s">
        <v>1578</v>
      </c>
      <c r="AF18" t="s">
        <v>1578</v>
      </c>
    </row>
    <row r="19" spans="1:33" ht="15.75" customHeight="1" x14ac:dyDescent="0.25">
      <c r="A19" s="35"/>
      <c r="B19" s="35" t="s">
        <v>1578</v>
      </c>
      <c r="D19" s="36" t="s">
        <v>1591</v>
      </c>
      <c r="E19" s="36"/>
      <c r="F19" s="36" t="s">
        <v>1641</v>
      </c>
      <c r="G19" s="37"/>
      <c r="H19" s="37" t="s">
        <v>1642</v>
      </c>
      <c r="I19" s="36"/>
      <c r="J19" s="36" t="s">
        <v>1643</v>
      </c>
      <c r="K19" s="35"/>
      <c r="L19" s="36" t="s">
        <v>1644</v>
      </c>
      <c r="M19" s="41"/>
      <c r="N19" s="36" t="s">
        <v>1645</v>
      </c>
      <c r="P19" s="36" t="s">
        <v>1646</v>
      </c>
      <c r="R19" s="36" t="s">
        <v>1647</v>
      </c>
      <c r="T19" s="36" t="s">
        <v>1648</v>
      </c>
      <c r="U19" s="35">
        <v>5</v>
      </c>
      <c r="V19" s="36" t="s">
        <v>1649</v>
      </c>
      <c r="X19" s="36" t="s">
        <v>1650</v>
      </c>
      <c r="Z19" s="36" t="s">
        <v>1651</v>
      </c>
      <c r="AB19" s="36" t="s">
        <v>1652</v>
      </c>
      <c r="AD19" s="95" t="s">
        <v>1798</v>
      </c>
      <c r="AF19" s="65" t="s">
        <v>1817</v>
      </c>
      <c r="AG19" s="61"/>
    </row>
    <row r="20" spans="1:33" ht="15.75" customHeight="1" x14ac:dyDescent="0.25">
      <c r="A20" s="36">
        <v>4</v>
      </c>
      <c r="B20" s="36" t="s">
        <v>1653</v>
      </c>
      <c r="D20" s="39">
        <v>10000</v>
      </c>
      <c r="E20" s="36"/>
      <c r="F20" s="36" t="s">
        <v>1591</v>
      </c>
      <c r="G20" s="38"/>
      <c r="H20" s="38" t="s">
        <v>1591</v>
      </c>
      <c r="I20" s="36"/>
      <c r="J20" s="36" t="s">
        <v>1654</v>
      </c>
      <c r="K20" s="35"/>
      <c r="L20" s="36" t="s">
        <v>1591</v>
      </c>
      <c r="N20" s="36" t="s">
        <v>1591</v>
      </c>
      <c r="P20" s="36" t="s">
        <v>1591</v>
      </c>
      <c r="R20" s="36" t="s">
        <v>1591</v>
      </c>
      <c r="T20" s="36" t="s">
        <v>1655</v>
      </c>
      <c r="V20" s="36" t="s">
        <v>1591</v>
      </c>
      <c r="X20" s="36" t="s">
        <v>1656</v>
      </c>
      <c r="Z20" s="36" t="s">
        <v>1657</v>
      </c>
      <c r="AB20" s="36" t="s">
        <v>1591</v>
      </c>
      <c r="AD20" s="95" t="s">
        <v>1591</v>
      </c>
      <c r="AF20" s="65" t="s">
        <v>1591</v>
      </c>
    </row>
    <row r="21" spans="1:33" ht="15.75" customHeight="1" x14ac:dyDescent="0.25">
      <c r="A21" s="36"/>
      <c r="B21" s="36" t="s">
        <v>1591</v>
      </c>
      <c r="C21" s="35">
        <v>6</v>
      </c>
      <c r="D21" s="36" t="s">
        <v>1625</v>
      </c>
      <c r="E21" s="39"/>
      <c r="F21" s="39">
        <v>10000</v>
      </c>
      <c r="G21" s="40"/>
      <c r="H21" s="40">
        <v>10000</v>
      </c>
      <c r="I21" s="39"/>
      <c r="J21" s="39">
        <v>5000</v>
      </c>
      <c r="K21" s="41"/>
      <c r="L21" s="39">
        <v>10000</v>
      </c>
      <c r="N21" s="39">
        <v>5000</v>
      </c>
      <c r="P21" s="39">
        <v>10000</v>
      </c>
      <c r="R21" s="39">
        <v>10000</v>
      </c>
      <c r="T21" s="39">
        <v>10000</v>
      </c>
      <c r="V21" s="39">
        <v>25000</v>
      </c>
      <c r="X21" s="39">
        <v>5000</v>
      </c>
      <c r="Z21" s="39">
        <v>10000</v>
      </c>
      <c r="AB21" s="39">
        <v>15000</v>
      </c>
      <c r="AD21" s="96">
        <v>5000</v>
      </c>
      <c r="AF21" s="66">
        <v>3500</v>
      </c>
    </row>
    <row r="22" spans="1:33" ht="15.75" customHeight="1" x14ac:dyDescent="0.25">
      <c r="A22" s="39"/>
      <c r="B22" s="39">
        <v>5000</v>
      </c>
      <c r="D22" s="36" t="s">
        <v>1591</v>
      </c>
      <c r="E22" s="36"/>
      <c r="F22" s="36" t="s">
        <v>1578</v>
      </c>
      <c r="G22" s="42"/>
      <c r="H22" s="42" t="s">
        <v>1578</v>
      </c>
      <c r="I22" s="35"/>
      <c r="J22" s="35" t="s">
        <v>1578</v>
      </c>
      <c r="K22" s="35"/>
      <c r="L22" s="35" t="s">
        <v>1578</v>
      </c>
      <c r="M22" s="43"/>
      <c r="N22" s="35" t="s">
        <v>1578</v>
      </c>
      <c r="P22" s="35" t="s">
        <v>1578</v>
      </c>
      <c r="R22" s="35" t="s">
        <v>1578</v>
      </c>
      <c r="T22" s="35" t="s">
        <v>1578</v>
      </c>
      <c r="V22" s="35" t="s">
        <v>1578</v>
      </c>
      <c r="X22" s="35" t="s">
        <v>1578</v>
      </c>
      <c r="Z22" s="35" t="s">
        <v>1578</v>
      </c>
      <c r="AC22" s="41"/>
      <c r="AD22" t="s">
        <v>1578</v>
      </c>
      <c r="AF22" t="s">
        <v>1578</v>
      </c>
      <c r="AG22" s="62"/>
    </row>
    <row r="23" spans="1:33" ht="15.75" customHeight="1" x14ac:dyDescent="0.25">
      <c r="A23" s="35"/>
      <c r="B23" s="35" t="s">
        <v>1578</v>
      </c>
      <c r="D23" s="39">
        <v>10000</v>
      </c>
      <c r="E23" s="36"/>
      <c r="F23" s="36" t="s">
        <v>1613</v>
      </c>
      <c r="G23" s="37"/>
      <c r="H23" s="37" t="s">
        <v>1658</v>
      </c>
      <c r="I23" s="36"/>
      <c r="J23" s="36" t="s">
        <v>1659</v>
      </c>
      <c r="K23" s="35"/>
      <c r="L23" s="36" t="s">
        <v>1660</v>
      </c>
      <c r="N23" s="36" t="s">
        <v>1661</v>
      </c>
      <c r="P23" s="36" t="s">
        <v>1662</v>
      </c>
      <c r="R23" s="36" t="s">
        <v>1663</v>
      </c>
      <c r="T23" s="36" t="s">
        <v>1664</v>
      </c>
      <c r="U23" s="35">
        <v>6</v>
      </c>
      <c r="V23" s="36" t="s">
        <v>1665</v>
      </c>
      <c r="X23" s="36" t="s">
        <v>1650</v>
      </c>
      <c r="Z23" s="36" t="s">
        <v>1666</v>
      </c>
      <c r="AD23" s="95" t="s">
        <v>1799</v>
      </c>
      <c r="AF23" s="95" t="s">
        <v>1818</v>
      </c>
    </row>
    <row r="24" spans="1:33" ht="12.5" x14ac:dyDescent="0.25">
      <c r="A24" s="36">
        <v>5</v>
      </c>
      <c r="B24" s="36" t="s">
        <v>1667</v>
      </c>
      <c r="D24" s="35" t="s">
        <v>1578</v>
      </c>
      <c r="E24" s="36"/>
      <c r="F24" s="36" t="s">
        <v>1591</v>
      </c>
      <c r="G24" s="38"/>
      <c r="H24" s="38" t="s">
        <v>1591</v>
      </c>
      <c r="I24" s="36"/>
      <c r="J24" s="36" t="s">
        <v>1591</v>
      </c>
      <c r="K24" s="35"/>
      <c r="L24" s="36" t="s">
        <v>1591</v>
      </c>
      <c r="M24" s="35"/>
      <c r="N24" s="36" t="s">
        <v>1591</v>
      </c>
      <c r="P24" s="36" t="s">
        <v>1668</v>
      </c>
      <c r="R24" s="36" t="s">
        <v>1669</v>
      </c>
      <c r="T24" s="36" t="s">
        <v>1591</v>
      </c>
      <c r="V24" s="36" t="s">
        <v>1670</v>
      </c>
      <c r="X24" s="36" t="s">
        <v>1591</v>
      </c>
      <c r="Z24" s="36" t="s">
        <v>1591</v>
      </c>
      <c r="AD24" s="95" t="s">
        <v>1591</v>
      </c>
      <c r="AF24" s="95" t="s">
        <v>1591</v>
      </c>
    </row>
    <row r="25" spans="1:33" ht="12.5" x14ac:dyDescent="0.25">
      <c r="A25" s="36"/>
      <c r="B25" s="36" t="s">
        <v>1591</v>
      </c>
      <c r="C25" s="35">
        <v>7</v>
      </c>
      <c r="D25" s="39" t="s">
        <v>1671</v>
      </c>
      <c r="E25" s="39"/>
      <c r="F25" s="39">
        <v>5000</v>
      </c>
      <c r="G25" s="40"/>
      <c r="H25" s="40">
        <v>10000</v>
      </c>
      <c r="I25" s="39"/>
      <c r="J25" s="39">
        <v>35000</v>
      </c>
      <c r="K25" s="41"/>
      <c r="L25" s="39">
        <v>10000</v>
      </c>
      <c r="M25" s="35"/>
      <c r="N25" s="39">
        <v>10000</v>
      </c>
      <c r="P25" s="39">
        <v>15000</v>
      </c>
      <c r="R25" s="39">
        <v>5000</v>
      </c>
      <c r="T25" s="39">
        <v>5000</v>
      </c>
      <c r="V25" s="39">
        <v>20000</v>
      </c>
      <c r="X25" s="39">
        <v>10000</v>
      </c>
      <c r="Z25" s="39">
        <v>5000</v>
      </c>
      <c r="AC25" s="43"/>
      <c r="AD25" s="96">
        <v>10000</v>
      </c>
      <c r="AF25" s="96">
        <v>14000</v>
      </c>
    </row>
    <row r="26" spans="1:33" ht="12.5" x14ac:dyDescent="0.25">
      <c r="A26" s="39"/>
      <c r="B26" s="39">
        <v>5000</v>
      </c>
      <c r="D26" s="36" t="s">
        <v>1591</v>
      </c>
      <c r="E26" s="36"/>
      <c r="F26" s="36" t="s">
        <v>1578</v>
      </c>
      <c r="G26" s="42"/>
      <c r="H26" s="42" t="s">
        <v>1578</v>
      </c>
      <c r="I26" s="35"/>
      <c r="J26" s="35" t="s">
        <v>1578</v>
      </c>
      <c r="K26" s="35"/>
      <c r="L26" s="35" t="s">
        <v>1578</v>
      </c>
      <c r="M26" s="35"/>
      <c r="N26" s="35" t="s">
        <v>1578</v>
      </c>
      <c r="P26" s="35" t="s">
        <v>1578</v>
      </c>
      <c r="R26" s="35" t="s">
        <v>1578</v>
      </c>
      <c r="T26" s="35" t="s">
        <v>1578</v>
      </c>
      <c r="V26" s="35" t="s">
        <v>1578</v>
      </c>
      <c r="X26" s="35" t="s">
        <v>1578</v>
      </c>
      <c r="Z26" s="35" t="s">
        <v>1578</v>
      </c>
      <c r="AD26" t="s">
        <v>1578</v>
      </c>
      <c r="AF26" t="s">
        <v>1578</v>
      </c>
    </row>
    <row r="27" spans="1:33" ht="12.5" x14ac:dyDescent="0.25">
      <c r="A27" s="35"/>
      <c r="B27" s="35" t="s">
        <v>1578</v>
      </c>
      <c r="D27" s="39">
        <v>5000</v>
      </c>
      <c r="E27" s="36"/>
      <c r="F27" s="36" t="s">
        <v>1672</v>
      </c>
      <c r="G27" s="37"/>
      <c r="H27" s="37" t="s">
        <v>1673</v>
      </c>
      <c r="I27" s="36"/>
      <c r="J27" s="36" t="s">
        <v>1674</v>
      </c>
      <c r="K27" s="35"/>
      <c r="L27" s="36" t="s">
        <v>1675</v>
      </c>
      <c r="M27" s="41"/>
      <c r="N27" s="36" t="s">
        <v>1676</v>
      </c>
      <c r="P27" s="36" t="s">
        <v>1603</v>
      </c>
      <c r="R27" s="36" t="s">
        <v>1677</v>
      </c>
      <c r="T27" s="36" t="s">
        <v>1645</v>
      </c>
      <c r="U27" s="35">
        <v>7</v>
      </c>
      <c r="V27" s="36" t="s">
        <v>1678</v>
      </c>
      <c r="X27" s="36" t="s">
        <v>1679</v>
      </c>
      <c r="Z27" s="36" t="s">
        <v>1680</v>
      </c>
      <c r="AD27" s="95" t="s">
        <v>1800</v>
      </c>
      <c r="AF27" s="95" t="s">
        <v>1819</v>
      </c>
      <c r="AG27" s="61"/>
    </row>
    <row r="28" spans="1:33" ht="12.5" x14ac:dyDescent="0.25">
      <c r="A28" s="36">
        <v>6</v>
      </c>
      <c r="B28" s="36" t="s">
        <v>1681</v>
      </c>
      <c r="E28" s="36"/>
      <c r="F28" s="36" t="s">
        <v>1591</v>
      </c>
      <c r="G28" s="38"/>
      <c r="H28" s="38" t="s">
        <v>1591</v>
      </c>
      <c r="I28" s="36"/>
      <c r="J28" s="36" t="s">
        <v>1591</v>
      </c>
      <c r="K28" s="35"/>
      <c r="L28" s="36" t="s">
        <v>1591</v>
      </c>
      <c r="M28" s="35"/>
      <c r="N28" s="39" t="s">
        <v>1682</v>
      </c>
      <c r="P28" s="36" t="s">
        <v>1683</v>
      </c>
      <c r="R28" s="36" t="s">
        <v>1591</v>
      </c>
      <c r="T28" s="36" t="s">
        <v>1591</v>
      </c>
      <c r="V28" s="36" t="s">
        <v>1684</v>
      </c>
      <c r="X28" s="36" t="s">
        <v>1591</v>
      </c>
      <c r="Z28" s="36" t="s">
        <v>1591</v>
      </c>
      <c r="AD28" s="95" t="s">
        <v>1591</v>
      </c>
      <c r="AF28" s="95" t="s">
        <v>1591</v>
      </c>
    </row>
    <row r="29" spans="1:33" ht="12.5" x14ac:dyDescent="0.25">
      <c r="A29" s="36"/>
      <c r="B29" s="36" t="s">
        <v>1591</v>
      </c>
      <c r="D29" s="41"/>
      <c r="E29" s="39"/>
      <c r="F29" s="39">
        <v>5000</v>
      </c>
      <c r="G29" s="40"/>
      <c r="H29" s="40">
        <v>10000</v>
      </c>
      <c r="I29" s="39"/>
      <c r="J29" s="39">
        <v>5000</v>
      </c>
      <c r="K29" s="41"/>
      <c r="L29" s="39">
        <v>20000</v>
      </c>
      <c r="M29" s="35"/>
      <c r="N29" s="39">
        <v>5000</v>
      </c>
      <c r="P29" s="39">
        <v>20000</v>
      </c>
      <c r="R29" s="39">
        <v>10000</v>
      </c>
      <c r="T29" s="39">
        <v>10000</v>
      </c>
      <c r="V29" s="39">
        <v>10000</v>
      </c>
      <c r="X29" s="39">
        <v>10000</v>
      </c>
      <c r="Z29" s="39">
        <v>10000</v>
      </c>
      <c r="AD29" s="96">
        <v>10000</v>
      </c>
      <c r="AF29" s="96">
        <v>9000</v>
      </c>
    </row>
    <row r="30" spans="1:33" ht="12.5" x14ac:dyDescent="0.25">
      <c r="A30" s="39"/>
      <c r="B30" s="39">
        <v>10000</v>
      </c>
      <c r="E30" s="43"/>
      <c r="F30" s="43"/>
      <c r="G30" s="43"/>
      <c r="H30" s="43"/>
      <c r="I30" s="43"/>
      <c r="J30" s="43"/>
      <c r="K30" s="43"/>
      <c r="L30" s="43"/>
      <c r="M30" s="43"/>
      <c r="N30" s="35" t="s">
        <v>1578</v>
      </c>
      <c r="P30" s="35" t="s">
        <v>1578</v>
      </c>
      <c r="R30" s="35" t="s">
        <v>1578</v>
      </c>
      <c r="T30" s="35" t="s">
        <v>1578</v>
      </c>
      <c r="V30" s="35" t="s">
        <v>1578</v>
      </c>
      <c r="X30" s="35" t="s">
        <v>1578</v>
      </c>
      <c r="Z30" s="35" t="s">
        <v>1578</v>
      </c>
      <c r="AC30" s="41"/>
      <c r="AD30" t="s">
        <v>1578</v>
      </c>
      <c r="AF30" t="s">
        <v>1578</v>
      </c>
      <c r="AG30" s="62"/>
    </row>
    <row r="31" spans="1:33" ht="12.5" x14ac:dyDescent="0.25">
      <c r="A31" s="35"/>
      <c r="B31" s="35" t="s">
        <v>1578</v>
      </c>
      <c r="D31" s="41"/>
      <c r="N31" s="36" t="s">
        <v>1685</v>
      </c>
      <c r="P31" s="36" t="s">
        <v>1686</v>
      </c>
      <c r="R31" s="36" t="s">
        <v>1687</v>
      </c>
      <c r="T31" s="36" t="s">
        <v>1645</v>
      </c>
      <c r="U31" s="35">
        <v>8</v>
      </c>
      <c r="V31" s="36" t="s">
        <v>1582</v>
      </c>
      <c r="X31" s="36" t="s">
        <v>1688</v>
      </c>
      <c r="Z31" s="36" t="s">
        <v>1689</v>
      </c>
      <c r="AD31" s="65" t="s">
        <v>1801</v>
      </c>
      <c r="AF31" s="95" t="s">
        <v>1820</v>
      </c>
    </row>
    <row r="32" spans="1:33" ht="13" x14ac:dyDescent="0.3">
      <c r="A32" s="36">
        <v>7</v>
      </c>
      <c r="B32" s="36" t="s">
        <v>1651</v>
      </c>
      <c r="D32" s="35" t="s">
        <v>1578</v>
      </c>
      <c r="G32" s="46"/>
      <c r="M32" s="35"/>
      <c r="N32" s="39" t="s">
        <v>1591</v>
      </c>
      <c r="P32" s="36" t="s">
        <v>1591</v>
      </c>
      <c r="R32" s="36" t="s">
        <v>1591</v>
      </c>
      <c r="T32" s="36" t="s">
        <v>1591</v>
      </c>
      <c r="V32" s="36" t="s">
        <v>1690</v>
      </c>
      <c r="X32" s="36" t="s">
        <v>1591</v>
      </c>
      <c r="Z32" s="36" t="s">
        <v>1691</v>
      </c>
      <c r="AD32" s="65" t="s">
        <v>1591</v>
      </c>
      <c r="AF32" s="95" t="s">
        <v>1591</v>
      </c>
    </row>
    <row r="33" spans="1:33" ht="12.5" x14ac:dyDescent="0.25">
      <c r="A33" s="36"/>
      <c r="B33" s="36" t="s">
        <v>1591</v>
      </c>
      <c r="C33" s="35">
        <v>8</v>
      </c>
      <c r="D33" s="39" t="s">
        <v>1692</v>
      </c>
      <c r="M33" s="35"/>
      <c r="N33" s="39">
        <v>5000</v>
      </c>
      <c r="P33" s="39">
        <v>10000</v>
      </c>
      <c r="R33" s="39">
        <v>5000</v>
      </c>
      <c r="T33" s="39">
        <v>10000</v>
      </c>
      <c r="V33" s="39">
        <v>5000</v>
      </c>
      <c r="X33" s="39">
        <v>10000</v>
      </c>
      <c r="Z33" s="39">
        <v>20000</v>
      </c>
      <c r="AC33" s="43"/>
      <c r="AD33" s="66">
        <v>10000</v>
      </c>
      <c r="AF33" s="96">
        <v>14000</v>
      </c>
    </row>
    <row r="34" spans="1:33" ht="12.5" x14ac:dyDescent="0.25">
      <c r="A34" s="39"/>
      <c r="B34" s="39">
        <v>10000</v>
      </c>
      <c r="D34" s="36" t="s">
        <v>1591</v>
      </c>
      <c r="M34" s="35"/>
      <c r="N34" s="35" t="s">
        <v>1578</v>
      </c>
      <c r="P34" s="35" t="s">
        <v>1578</v>
      </c>
      <c r="R34" s="47" t="s">
        <v>1578</v>
      </c>
      <c r="T34" s="35" t="s">
        <v>1578</v>
      </c>
      <c r="V34" s="35" t="s">
        <v>1578</v>
      </c>
      <c r="X34" s="35" t="s">
        <v>1578</v>
      </c>
      <c r="Z34" s="35" t="s">
        <v>1578</v>
      </c>
      <c r="AD34" t="s">
        <v>1578</v>
      </c>
      <c r="AF34" t="s">
        <v>1578</v>
      </c>
    </row>
    <row r="35" spans="1:33" ht="12.5" x14ac:dyDescent="0.25">
      <c r="A35" s="35"/>
      <c r="B35" s="35" t="s">
        <v>1578</v>
      </c>
      <c r="D35" s="39">
        <v>10000</v>
      </c>
      <c r="E35" s="41"/>
      <c r="F35" s="41"/>
      <c r="G35" s="41"/>
      <c r="H35" s="41"/>
      <c r="I35" s="41"/>
      <c r="J35" s="41"/>
      <c r="K35" s="41"/>
      <c r="L35" s="41"/>
      <c r="M35" s="41"/>
      <c r="N35" s="36" t="s">
        <v>1693</v>
      </c>
      <c r="P35" s="36" t="s">
        <v>1694</v>
      </c>
      <c r="R35" s="36" t="s">
        <v>1695</v>
      </c>
      <c r="T35" s="36" t="s">
        <v>1696</v>
      </c>
      <c r="U35" s="35">
        <v>9</v>
      </c>
      <c r="V35" s="36" t="s">
        <v>1697</v>
      </c>
      <c r="X35" s="36" t="s">
        <v>1698</v>
      </c>
      <c r="Z35" s="36" t="s">
        <v>1699</v>
      </c>
      <c r="AD35" s="95" t="s">
        <v>1802</v>
      </c>
      <c r="AF35" s="95" t="s">
        <v>1821</v>
      </c>
      <c r="AG35" s="61"/>
    </row>
    <row r="36" spans="1:33" ht="12.5" x14ac:dyDescent="0.25">
      <c r="A36" s="36">
        <v>8</v>
      </c>
      <c r="B36" s="36" t="s">
        <v>1700</v>
      </c>
      <c r="D36" s="35" t="s">
        <v>1578</v>
      </c>
      <c r="M36" s="35"/>
      <c r="N36" s="39" t="s">
        <v>1591</v>
      </c>
      <c r="P36" s="36" t="s">
        <v>1591</v>
      </c>
      <c r="R36" s="36" t="s">
        <v>1591</v>
      </c>
      <c r="T36" s="36" t="s">
        <v>1701</v>
      </c>
      <c r="V36" s="36" t="s">
        <v>1591</v>
      </c>
      <c r="X36" s="36" t="s">
        <v>1702</v>
      </c>
      <c r="Z36" s="36" t="s">
        <v>1591</v>
      </c>
      <c r="AD36" s="95" t="s">
        <v>1591</v>
      </c>
      <c r="AF36" s="95" t="s">
        <v>1591</v>
      </c>
    </row>
    <row r="37" spans="1:33" ht="12.5" x14ac:dyDescent="0.25">
      <c r="A37" s="36"/>
      <c r="B37" s="36" t="s">
        <v>1591</v>
      </c>
      <c r="C37" s="35">
        <v>9</v>
      </c>
      <c r="D37" s="36" t="s">
        <v>1703</v>
      </c>
      <c r="M37" s="35"/>
      <c r="N37" s="39">
        <v>5000</v>
      </c>
      <c r="P37" s="39">
        <v>10000</v>
      </c>
      <c r="R37" s="39">
        <v>5000</v>
      </c>
      <c r="T37" s="39">
        <v>10000</v>
      </c>
      <c r="V37" s="39">
        <v>5000</v>
      </c>
      <c r="X37" s="39">
        <v>10000</v>
      </c>
      <c r="Z37" s="39">
        <v>10000</v>
      </c>
      <c r="AD37" s="96">
        <v>10000</v>
      </c>
      <c r="AF37" s="96">
        <v>7000</v>
      </c>
    </row>
    <row r="38" spans="1:33" ht="12.5" x14ac:dyDescent="0.25">
      <c r="A38" s="39"/>
      <c r="B38" s="39">
        <v>5000</v>
      </c>
      <c r="D38" s="36" t="s">
        <v>1591</v>
      </c>
      <c r="E38" s="43"/>
      <c r="F38" s="43"/>
      <c r="G38" s="43"/>
      <c r="H38" s="43"/>
      <c r="I38" s="43"/>
      <c r="J38" s="43"/>
      <c r="K38" s="43"/>
      <c r="L38" s="43"/>
      <c r="M38" s="43"/>
      <c r="N38" s="35" t="s">
        <v>1578</v>
      </c>
      <c r="P38" s="35" t="s">
        <v>1578</v>
      </c>
      <c r="R38" s="35" t="s">
        <v>1578</v>
      </c>
      <c r="T38" s="35" t="s">
        <v>1578</v>
      </c>
      <c r="V38" s="35" t="s">
        <v>1578</v>
      </c>
      <c r="X38" s="35" t="s">
        <v>1578</v>
      </c>
      <c r="Z38" s="35" t="s">
        <v>1578</v>
      </c>
      <c r="AD38" t="s">
        <v>1578</v>
      </c>
      <c r="AF38" t="s">
        <v>1578</v>
      </c>
      <c r="AG38" s="62"/>
    </row>
    <row r="39" spans="1:33" ht="12.5" x14ac:dyDescent="0.25">
      <c r="A39" s="33"/>
      <c r="B39" s="33">
        <v>45786</v>
      </c>
      <c r="D39" s="39">
        <v>5000</v>
      </c>
      <c r="N39" s="36" t="s">
        <v>1704</v>
      </c>
      <c r="P39" s="36" t="s">
        <v>1705</v>
      </c>
      <c r="R39" s="36" t="s">
        <v>1706</v>
      </c>
      <c r="T39" s="36" t="s">
        <v>1707</v>
      </c>
      <c r="U39" s="35">
        <v>10</v>
      </c>
      <c r="V39" s="36" t="s">
        <v>1708</v>
      </c>
      <c r="X39" s="36" t="s">
        <v>1709</v>
      </c>
      <c r="Z39" s="36" t="s">
        <v>1710</v>
      </c>
      <c r="AD39" s="95" t="s">
        <v>1803</v>
      </c>
      <c r="AF39" s="95" t="s">
        <v>1822</v>
      </c>
    </row>
    <row r="40" spans="1:33" ht="12.5" x14ac:dyDescent="0.25">
      <c r="A40" s="35"/>
      <c r="B40" s="35" t="s">
        <v>1578</v>
      </c>
      <c r="D40" s="35" t="s">
        <v>1578</v>
      </c>
      <c r="M40" s="35"/>
      <c r="N40" s="36" t="s">
        <v>1591</v>
      </c>
      <c r="P40" s="36" t="s">
        <v>1591</v>
      </c>
      <c r="R40" s="36" t="s">
        <v>1591</v>
      </c>
      <c r="T40" s="36" t="s">
        <v>1591</v>
      </c>
      <c r="V40" s="36" t="s">
        <v>1591</v>
      </c>
      <c r="X40" s="36" t="s">
        <v>1591</v>
      </c>
      <c r="Z40" s="36" t="s">
        <v>1591</v>
      </c>
      <c r="AD40" s="95" t="s">
        <v>1591</v>
      </c>
      <c r="AF40" s="95" t="s">
        <v>1591</v>
      </c>
    </row>
    <row r="41" spans="1:33" ht="12.5" x14ac:dyDescent="0.25">
      <c r="A41" s="36">
        <v>9</v>
      </c>
      <c r="B41" s="36" t="s">
        <v>1711</v>
      </c>
      <c r="C41" s="35">
        <v>10</v>
      </c>
      <c r="D41" s="36" t="s">
        <v>1712</v>
      </c>
      <c r="M41" s="35"/>
      <c r="N41" s="39">
        <v>5000</v>
      </c>
      <c r="P41" s="39">
        <v>10000</v>
      </c>
      <c r="R41" s="39">
        <v>5000</v>
      </c>
      <c r="T41" s="39">
        <v>10000</v>
      </c>
      <c r="V41" s="39">
        <v>10000</v>
      </c>
      <c r="X41" s="39">
        <v>10000</v>
      </c>
      <c r="Z41" s="39">
        <v>20000</v>
      </c>
      <c r="AD41" s="96">
        <v>10000</v>
      </c>
      <c r="AF41" s="96">
        <v>5000</v>
      </c>
    </row>
    <row r="42" spans="1:33" ht="12.5" x14ac:dyDescent="0.25">
      <c r="A42" s="36"/>
      <c r="B42" s="36" t="s">
        <v>1591</v>
      </c>
      <c r="D42" s="36" t="s">
        <v>1591</v>
      </c>
      <c r="M42" s="35"/>
      <c r="N42" s="35" t="s">
        <v>1578</v>
      </c>
      <c r="P42" s="35" t="s">
        <v>1578</v>
      </c>
      <c r="R42" s="35" t="s">
        <v>1578</v>
      </c>
      <c r="T42" s="35" t="s">
        <v>1578</v>
      </c>
      <c r="V42" s="35" t="s">
        <v>1578</v>
      </c>
      <c r="X42" s="35" t="s">
        <v>1578</v>
      </c>
      <c r="Z42" s="35" t="s">
        <v>1578</v>
      </c>
      <c r="AD42" t="s">
        <v>1578</v>
      </c>
      <c r="AF42" t="s">
        <v>1578</v>
      </c>
    </row>
    <row r="43" spans="1:33" ht="12.5" x14ac:dyDescent="0.25">
      <c r="A43" s="39"/>
      <c r="B43" s="39">
        <v>5000</v>
      </c>
      <c r="D43" s="39">
        <v>10000</v>
      </c>
      <c r="E43" s="41"/>
      <c r="F43" s="41"/>
      <c r="G43" s="41"/>
      <c r="H43" s="41"/>
      <c r="I43" s="41"/>
      <c r="J43" s="41"/>
      <c r="K43" s="41"/>
      <c r="L43" s="41"/>
      <c r="M43" s="41"/>
      <c r="N43" s="36" t="s">
        <v>1713</v>
      </c>
      <c r="P43" s="36" t="s">
        <v>1714</v>
      </c>
      <c r="R43" s="36" t="s">
        <v>1715</v>
      </c>
      <c r="T43" s="36" t="s">
        <v>1716</v>
      </c>
      <c r="U43" s="35">
        <v>11</v>
      </c>
      <c r="V43" s="36" t="s">
        <v>1717</v>
      </c>
      <c r="X43" s="36" t="s">
        <v>1718</v>
      </c>
      <c r="Z43" s="36" t="s">
        <v>1719</v>
      </c>
      <c r="AD43" s="95" t="s">
        <v>1803</v>
      </c>
      <c r="AF43" s="95" t="s">
        <v>1823</v>
      </c>
      <c r="AG43" s="61"/>
    </row>
    <row r="44" spans="1:33" ht="13" x14ac:dyDescent="0.3">
      <c r="B44" s="48">
        <f>B5+B9+B13+B17+B22+B26+B30+B34+B38+B43</f>
        <v>75000</v>
      </c>
      <c r="D44" s="35" t="s">
        <v>1578</v>
      </c>
      <c r="M44" s="35"/>
      <c r="N44" s="36" t="s">
        <v>1591</v>
      </c>
      <c r="P44" s="36" t="s">
        <v>1591</v>
      </c>
      <c r="R44" s="36" t="s">
        <v>1591</v>
      </c>
      <c r="T44" s="36" t="s">
        <v>1591</v>
      </c>
      <c r="V44" s="36" t="s">
        <v>1591</v>
      </c>
      <c r="X44" s="36" t="s">
        <v>1591</v>
      </c>
      <c r="Z44" s="36" t="s">
        <v>1591</v>
      </c>
      <c r="AD44" s="95" t="s">
        <v>1591</v>
      </c>
      <c r="AF44" s="95" t="s">
        <v>1591</v>
      </c>
    </row>
    <row r="45" spans="1:33" ht="12.5" x14ac:dyDescent="0.25">
      <c r="C45" s="35">
        <v>11</v>
      </c>
      <c r="D45" s="36" t="s">
        <v>1720</v>
      </c>
      <c r="M45" s="35"/>
      <c r="N45" s="39">
        <v>15000</v>
      </c>
      <c r="P45" s="39">
        <v>20000</v>
      </c>
      <c r="R45" s="39">
        <v>10000</v>
      </c>
      <c r="T45" s="39">
        <v>10000</v>
      </c>
      <c r="V45" s="39">
        <v>10000</v>
      </c>
      <c r="X45" s="39">
        <v>5000</v>
      </c>
      <c r="Z45" s="39">
        <v>10000</v>
      </c>
      <c r="AC45" s="41"/>
      <c r="AD45" s="96">
        <v>10000</v>
      </c>
      <c r="AF45" s="96">
        <v>10000</v>
      </c>
    </row>
    <row r="46" spans="1:33" ht="12.5" x14ac:dyDescent="0.25">
      <c r="D46" s="36" t="s">
        <v>1591</v>
      </c>
      <c r="E46" s="43"/>
      <c r="F46" s="43"/>
      <c r="G46" s="43"/>
      <c r="H46" s="43"/>
      <c r="I46" s="43"/>
      <c r="J46" s="43"/>
      <c r="K46" s="43"/>
      <c r="L46" s="43"/>
      <c r="M46" s="43"/>
      <c r="N46" s="35" t="s">
        <v>1578</v>
      </c>
      <c r="P46" s="35" t="s">
        <v>1578</v>
      </c>
      <c r="R46" s="35" t="s">
        <v>1578</v>
      </c>
      <c r="T46" s="35" t="s">
        <v>1578</v>
      </c>
      <c r="V46" s="35" t="s">
        <v>1578</v>
      </c>
      <c r="X46" s="35" t="s">
        <v>1578</v>
      </c>
      <c r="Z46" s="35" t="s">
        <v>1578</v>
      </c>
      <c r="AD46" t="s">
        <v>1578</v>
      </c>
      <c r="AF46" s="62"/>
      <c r="AG46" s="62"/>
    </row>
    <row r="47" spans="1:33" ht="12.5" x14ac:dyDescent="0.25">
      <c r="D47" s="39">
        <v>10000</v>
      </c>
      <c r="N47" s="36" t="s">
        <v>1629</v>
      </c>
      <c r="P47" s="36" t="s">
        <v>1602</v>
      </c>
      <c r="R47" s="36" t="s">
        <v>1721</v>
      </c>
      <c r="T47" s="36" t="s">
        <v>1722</v>
      </c>
      <c r="U47" s="35">
        <v>12</v>
      </c>
      <c r="V47" s="36" t="s">
        <v>1723</v>
      </c>
      <c r="X47" s="36" t="s">
        <v>1724</v>
      </c>
      <c r="Z47" s="36" t="s">
        <v>1725</v>
      </c>
      <c r="AD47" s="95" t="s">
        <v>1804</v>
      </c>
    </row>
    <row r="48" spans="1:33" ht="12.5" x14ac:dyDescent="0.25">
      <c r="D48" s="35" t="s">
        <v>1578</v>
      </c>
      <c r="M48" s="35"/>
      <c r="N48" s="36" t="s">
        <v>1726</v>
      </c>
      <c r="P48" s="36" t="s">
        <v>1591</v>
      </c>
      <c r="R48" s="36" t="s">
        <v>1591</v>
      </c>
      <c r="T48" s="36" t="s">
        <v>1591</v>
      </c>
      <c r="V48" s="36" t="s">
        <v>1591</v>
      </c>
      <c r="X48" s="36" t="s">
        <v>1591</v>
      </c>
      <c r="Z48" s="36" t="s">
        <v>1727</v>
      </c>
      <c r="AC48" s="43"/>
      <c r="AD48" s="95" t="s">
        <v>1591</v>
      </c>
    </row>
    <row r="49" spans="2:33" ht="12.5" x14ac:dyDescent="0.25">
      <c r="C49" s="35">
        <v>12</v>
      </c>
      <c r="D49" s="36" t="s">
        <v>1728</v>
      </c>
      <c r="M49" s="35"/>
      <c r="N49" s="39">
        <v>5000</v>
      </c>
      <c r="P49" s="39">
        <v>10000</v>
      </c>
      <c r="R49" s="39">
        <v>10000</v>
      </c>
      <c r="T49" s="39">
        <v>10000</v>
      </c>
      <c r="V49" s="39">
        <v>25000</v>
      </c>
      <c r="X49" s="39">
        <v>20000</v>
      </c>
      <c r="Z49" s="39">
        <v>20000</v>
      </c>
      <c r="AD49" s="96">
        <v>20000</v>
      </c>
    </row>
    <row r="50" spans="2:33" ht="12.5" x14ac:dyDescent="0.25">
      <c r="D50" s="36" t="s">
        <v>1591</v>
      </c>
      <c r="M50" s="35"/>
      <c r="N50" s="35" t="s">
        <v>1578</v>
      </c>
      <c r="P50" s="35" t="s">
        <v>1578</v>
      </c>
      <c r="R50" s="35" t="s">
        <v>1578</v>
      </c>
      <c r="T50" s="35" t="s">
        <v>1578</v>
      </c>
      <c r="V50" s="35" t="s">
        <v>1578</v>
      </c>
      <c r="X50" s="35" t="s">
        <v>1578</v>
      </c>
      <c r="Z50" s="35" t="s">
        <v>1578</v>
      </c>
      <c r="AD50" t="s">
        <v>1578</v>
      </c>
    </row>
    <row r="51" spans="2:33" ht="12.5" x14ac:dyDescent="0.25">
      <c r="D51" s="39">
        <v>10000</v>
      </c>
      <c r="E51" s="41"/>
      <c r="F51" s="41"/>
      <c r="I51" s="41"/>
      <c r="J51" s="41"/>
      <c r="K51" s="41"/>
      <c r="L51" s="41"/>
      <c r="M51" s="41"/>
      <c r="N51" s="36" t="s">
        <v>1729</v>
      </c>
      <c r="P51" s="36" t="s">
        <v>1730</v>
      </c>
      <c r="R51" s="36" t="s">
        <v>1731</v>
      </c>
      <c r="T51" s="36" t="s">
        <v>1732</v>
      </c>
      <c r="U51" s="35">
        <v>13</v>
      </c>
      <c r="V51" s="36" t="s">
        <v>1642</v>
      </c>
      <c r="X51" s="36" t="s">
        <v>1733</v>
      </c>
      <c r="Z51" s="36" t="s">
        <v>1734</v>
      </c>
      <c r="AD51" s="95" t="s">
        <v>1805</v>
      </c>
      <c r="AF51" s="61"/>
      <c r="AG51" s="61"/>
    </row>
    <row r="52" spans="2:33" ht="12.5" x14ac:dyDescent="0.25">
      <c r="D52" s="35" t="s">
        <v>1578</v>
      </c>
      <c r="M52" s="35"/>
      <c r="N52" s="36" t="s">
        <v>1591</v>
      </c>
      <c r="P52" s="36" t="s">
        <v>1591</v>
      </c>
      <c r="R52" s="36" t="s">
        <v>1591</v>
      </c>
      <c r="T52" s="36" t="s">
        <v>1591</v>
      </c>
      <c r="V52" s="36" t="s">
        <v>1735</v>
      </c>
      <c r="X52" s="36" t="s">
        <v>1591</v>
      </c>
      <c r="Z52" s="36" t="s">
        <v>1591</v>
      </c>
      <c r="AD52" s="95" t="s">
        <v>1591</v>
      </c>
    </row>
    <row r="53" spans="2:33" ht="12.5" x14ac:dyDescent="0.25">
      <c r="C53" s="35">
        <v>13</v>
      </c>
      <c r="D53" s="36" t="s">
        <v>1736</v>
      </c>
      <c r="M53" s="35"/>
      <c r="N53" s="39">
        <v>10000</v>
      </c>
      <c r="P53" s="39">
        <v>10000</v>
      </c>
      <c r="R53" s="39">
        <v>5000</v>
      </c>
      <c r="T53" s="39">
        <v>5000</v>
      </c>
      <c r="V53" s="39">
        <v>10000</v>
      </c>
      <c r="X53" s="39">
        <v>10000</v>
      </c>
      <c r="Z53" s="39">
        <v>20000</v>
      </c>
      <c r="AC53" s="41"/>
      <c r="AD53" s="96">
        <v>10000</v>
      </c>
    </row>
    <row r="54" spans="2:33" ht="12.5" x14ac:dyDescent="0.25">
      <c r="D54" s="36" t="s">
        <v>1591</v>
      </c>
      <c r="E54" s="43"/>
      <c r="F54" s="43"/>
      <c r="G54" s="43"/>
      <c r="H54" s="43"/>
      <c r="I54" s="43"/>
      <c r="J54" s="43"/>
      <c r="K54" s="43"/>
      <c r="L54" s="43"/>
      <c r="M54" s="43"/>
      <c r="N54" s="35" t="s">
        <v>1578</v>
      </c>
      <c r="P54" s="35" t="s">
        <v>1578</v>
      </c>
      <c r="R54" s="35" t="s">
        <v>1578</v>
      </c>
      <c r="T54" s="35" t="s">
        <v>1578</v>
      </c>
      <c r="V54" s="35" t="s">
        <v>1578</v>
      </c>
      <c r="X54" s="35" t="s">
        <v>1578</v>
      </c>
      <c r="Z54" s="35" t="s">
        <v>1578</v>
      </c>
      <c r="AD54" t="s">
        <v>1578</v>
      </c>
      <c r="AF54" s="62"/>
      <c r="AG54" s="62"/>
    </row>
    <row r="55" spans="2:33" ht="12.5" x14ac:dyDescent="0.25">
      <c r="D55" s="39">
        <v>10000</v>
      </c>
      <c r="N55" s="36" t="s">
        <v>1737</v>
      </c>
      <c r="P55" s="36" t="s">
        <v>1738</v>
      </c>
      <c r="R55" s="36" t="s">
        <v>1731</v>
      </c>
      <c r="T55" s="36" t="s">
        <v>1739</v>
      </c>
      <c r="U55" s="35">
        <v>14</v>
      </c>
      <c r="V55" s="36" t="s">
        <v>1740</v>
      </c>
      <c r="X55" s="36" t="s">
        <v>1741</v>
      </c>
      <c r="Z55" s="59" t="s">
        <v>1742</v>
      </c>
      <c r="AD55" s="65" t="s">
        <v>1806</v>
      </c>
    </row>
    <row r="56" spans="2:33" ht="13" x14ac:dyDescent="0.3">
      <c r="D56" s="48">
        <f>D5+D9+D13+D17+D20+D23+D27+D31+D35+D39+D43+D47+D51+D55</f>
        <v>105000</v>
      </c>
      <c r="E56" s="49"/>
      <c r="F56" s="48">
        <f>F5+F9+F13+F17+F21+F25+F29</f>
        <v>60000</v>
      </c>
      <c r="G56" s="49"/>
      <c r="H56" s="48">
        <f>H5+H9+H13+H17+H21+H25+H29</f>
        <v>75000</v>
      </c>
      <c r="I56" s="49"/>
      <c r="J56" s="48">
        <f>J5+J9+J13+J17+J21+J25+J29</f>
        <v>80000</v>
      </c>
      <c r="K56" s="49"/>
      <c r="L56" s="48">
        <f>L5+L9+L13+L17+L21+L25+L29</f>
        <v>70000</v>
      </c>
      <c r="N56" s="36" t="s">
        <v>1591</v>
      </c>
      <c r="P56" s="36" t="s">
        <v>1591</v>
      </c>
      <c r="R56" s="36" t="s">
        <v>1591</v>
      </c>
      <c r="T56" s="36" t="s">
        <v>1591</v>
      </c>
      <c r="V56" s="36" t="s">
        <v>1591</v>
      </c>
      <c r="X56" s="36" t="s">
        <v>1591</v>
      </c>
      <c r="Z56" s="59" t="s">
        <v>1591</v>
      </c>
      <c r="AC56" s="43"/>
      <c r="AD56" s="65" t="s">
        <v>1591</v>
      </c>
    </row>
    <row r="57" spans="2:33" ht="12.5" x14ac:dyDescent="0.25">
      <c r="N57" s="39">
        <v>5000</v>
      </c>
      <c r="P57" s="39">
        <v>10000</v>
      </c>
      <c r="R57" s="39">
        <v>10000</v>
      </c>
      <c r="T57" s="39">
        <v>10000</v>
      </c>
      <c r="V57" s="39">
        <v>10000</v>
      </c>
      <c r="X57" s="39">
        <v>10000</v>
      </c>
      <c r="Z57" s="60">
        <v>10000</v>
      </c>
      <c r="AD57" s="66">
        <v>15000</v>
      </c>
    </row>
    <row r="58" spans="2:33" ht="12.5" x14ac:dyDescent="0.25">
      <c r="N58" s="35" t="s">
        <v>1578</v>
      </c>
      <c r="R58" s="35" t="s">
        <v>1578</v>
      </c>
      <c r="T58" s="35" t="s">
        <v>1578</v>
      </c>
      <c r="V58" s="35" t="s">
        <v>1578</v>
      </c>
      <c r="X58" s="35" t="s">
        <v>1578</v>
      </c>
      <c r="Z58" s="35" t="s">
        <v>1578</v>
      </c>
      <c r="AD58" t="s">
        <v>1578</v>
      </c>
    </row>
    <row r="59" spans="2:33" ht="12.5" x14ac:dyDescent="0.25">
      <c r="N59" s="36" t="s">
        <v>1743</v>
      </c>
      <c r="R59" s="36" t="s">
        <v>1731</v>
      </c>
      <c r="T59" s="36" t="s">
        <v>1744</v>
      </c>
      <c r="U59" s="35">
        <v>15</v>
      </c>
      <c r="V59" s="36" t="s">
        <v>1745</v>
      </c>
      <c r="X59" s="36" t="s">
        <v>1746</v>
      </c>
      <c r="Z59" s="36" t="s">
        <v>1747</v>
      </c>
      <c r="AD59" s="95" t="s">
        <v>1807</v>
      </c>
      <c r="AF59" s="61"/>
      <c r="AG59" s="61"/>
    </row>
    <row r="60" spans="2:33" ht="12.5" x14ac:dyDescent="0.25">
      <c r="N60" s="36" t="s">
        <v>1748</v>
      </c>
      <c r="P60" s="41"/>
      <c r="R60" s="36" t="s">
        <v>1591</v>
      </c>
      <c r="T60" s="36" t="s">
        <v>1749</v>
      </c>
      <c r="V60" s="36" t="s">
        <v>1591</v>
      </c>
      <c r="X60" s="36" t="s">
        <v>1591</v>
      </c>
      <c r="Z60" s="36" t="s">
        <v>1591</v>
      </c>
      <c r="AD60" s="95" t="s">
        <v>1591</v>
      </c>
    </row>
    <row r="61" spans="2:33" ht="12.5" x14ac:dyDescent="0.25">
      <c r="B61" s="41">
        <f>B44+D56+F56+H56+J56+L56+N104+P104+R104+T104</f>
        <v>1150000</v>
      </c>
      <c r="N61" s="39">
        <v>5000</v>
      </c>
      <c r="R61" s="39">
        <v>10000</v>
      </c>
      <c r="T61" s="39">
        <v>20000</v>
      </c>
      <c r="V61" s="39">
        <v>10000</v>
      </c>
      <c r="X61" s="39">
        <v>10000</v>
      </c>
      <c r="Z61" s="39">
        <v>10000</v>
      </c>
      <c r="AC61" s="41"/>
      <c r="AD61" s="96">
        <v>10000</v>
      </c>
    </row>
    <row r="62" spans="2:33" ht="12.5" x14ac:dyDescent="0.25">
      <c r="N62" s="35" t="s">
        <v>1578</v>
      </c>
      <c r="R62" s="35" t="s">
        <v>1578</v>
      </c>
      <c r="T62" s="35" t="s">
        <v>1578</v>
      </c>
      <c r="V62" s="35" t="s">
        <v>1578</v>
      </c>
      <c r="X62" s="35" t="s">
        <v>1578</v>
      </c>
      <c r="Z62" s="35" t="s">
        <v>1578</v>
      </c>
      <c r="AD62" t="s">
        <v>1578</v>
      </c>
      <c r="AF62" s="62"/>
      <c r="AG62" s="62"/>
    </row>
    <row r="63" spans="2:33" ht="12.5" x14ac:dyDescent="0.25">
      <c r="N63" s="36" t="s">
        <v>1750</v>
      </c>
      <c r="P63" s="43"/>
      <c r="R63" s="36" t="s">
        <v>1713</v>
      </c>
      <c r="T63" s="36" t="s">
        <v>1751</v>
      </c>
      <c r="U63" s="35">
        <v>16</v>
      </c>
      <c r="V63" s="36" t="s">
        <v>1752</v>
      </c>
      <c r="X63" s="59" t="s">
        <v>1642</v>
      </c>
      <c r="Z63" s="36" t="s">
        <v>1753</v>
      </c>
      <c r="AD63" s="95" t="s">
        <v>1808</v>
      </c>
    </row>
    <row r="64" spans="2:33" ht="12.5" x14ac:dyDescent="0.25">
      <c r="N64" s="36" t="s">
        <v>1591</v>
      </c>
      <c r="P64" s="33"/>
      <c r="R64" s="36" t="s">
        <v>1754</v>
      </c>
      <c r="T64" s="36" t="s">
        <v>1591</v>
      </c>
      <c r="V64" s="36" t="s">
        <v>1591</v>
      </c>
      <c r="X64" s="59" t="s">
        <v>1591</v>
      </c>
      <c r="Z64" s="36" t="s">
        <v>1755</v>
      </c>
      <c r="AC64" s="43"/>
      <c r="AD64" s="95" t="s">
        <v>1591</v>
      </c>
    </row>
    <row r="65" spans="14:33" ht="12.5" x14ac:dyDescent="0.25">
      <c r="N65" s="39">
        <v>5000</v>
      </c>
      <c r="R65" s="39">
        <v>25000</v>
      </c>
      <c r="T65" s="39">
        <v>10000</v>
      </c>
      <c r="V65" s="39">
        <v>10000</v>
      </c>
      <c r="X65" s="60">
        <v>10000</v>
      </c>
      <c r="Z65" s="39">
        <v>25000</v>
      </c>
      <c r="AD65" s="96">
        <v>10000</v>
      </c>
    </row>
    <row r="66" spans="14:33" ht="12.5" x14ac:dyDescent="0.25">
      <c r="N66" s="35" t="s">
        <v>1578</v>
      </c>
      <c r="R66" s="35" t="s">
        <v>1578</v>
      </c>
      <c r="T66" s="35" t="s">
        <v>1578</v>
      </c>
      <c r="V66" s="35" t="s">
        <v>1578</v>
      </c>
      <c r="X66" s="35" t="s">
        <v>1578</v>
      </c>
      <c r="Z66" s="35" t="s">
        <v>1578</v>
      </c>
    </row>
    <row r="67" spans="14:33" ht="12.5" x14ac:dyDescent="0.25">
      <c r="N67" s="36" t="s">
        <v>1660</v>
      </c>
      <c r="P67" s="41"/>
      <c r="R67" s="36" t="s">
        <v>1756</v>
      </c>
      <c r="T67" s="36" t="s">
        <v>1757</v>
      </c>
      <c r="U67" s="35">
        <v>17</v>
      </c>
      <c r="V67" s="36" t="s">
        <v>1758</v>
      </c>
      <c r="X67" s="36" t="s">
        <v>1759</v>
      </c>
      <c r="Z67" s="36" t="s">
        <v>1760</v>
      </c>
      <c r="AF67" s="61"/>
      <c r="AG67" s="61"/>
    </row>
    <row r="68" spans="14:33" ht="12.5" x14ac:dyDescent="0.25">
      <c r="N68" s="36" t="s">
        <v>1591</v>
      </c>
      <c r="R68" s="36" t="s">
        <v>1761</v>
      </c>
      <c r="T68" s="36" t="s">
        <v>1591</v>
      </c>
      <c r="V68" s="36" t="s">
        <v>1591</v>
      </c>
      <c r="X68" s="36" t="s">
        <v>1591</v>
      </c>
      <c r="Z68" s="36" t="s">
        <v>1591</v>
      </c>
    </row>
    <row r="69" spans="14:33" ht="12.5" x14ac:dyDescent="0.25">
      <c r="N69" s="39">
        <v>5000</v>
      </c>
      <c r="R69" s="39">
        <v>5000</v>
      </c>
      <c r="T69" s="39">
        <v>5000</v>
      </c>
      <c r="V69" s="39">
        <v>10000</v>
      </c>
      <c r="X69" s="39">
        <v>5000</v>
      </c>
      <c r="Z69" s="39">
        <v>10000</v>
      </c>
      <c r="AC69" s="41"/>
    </row>
    <row r="70" spans="14:33" ht="12.5" x14ac:dyDescent="0.25">
      <c r="N70" s="35" t="s">
        <v>1578</v>
      </c>
      <c r="R70" s="35" t="s">
        <v>1578</v>
      </c>
      <c r="T70" s="43"/>
      <c r="V70" s="35" t="s">
        <v>1578</v>
      </c>
      <c r="X70" s="35" t="s">
        <v>1578</v>
      </c>
      <c r="Z70" s="35" t="s">
        <v>1578</v>
      </c>
      <c r="AF70" s="62"/>
      <c r="AG70" s="62"/>
    </row>
    <row r="71" spans="14:33" ht="12.5" x14ac:dyDescent="0.25">
      <c r="N71" s="36" t="s">
        <v>1762</v>
      </c>
      <c r="R71" s="36" t="s">
        <v>1763</v>
      </c>
      <c r="U71" s="35">
        <v>18</v>
      </c>
      <c r="V71" s="36" t="s">
        <v>1764</v>
      </c>
      <c r="X71" s="39" t="s">
        <v>1765</v>
      </c>
      <c r="Z71" s="36" t="s">
        <v>1766</v>
      </c>
    </row>
    <row r="72" spans="14:33" ht="12.5" x14ac:dyDescent="0.25">
      <c r="N72" s="36" t="s">
        <v>1591</v>
      </c>
      <c r="R72" s="36" t="s">
        <v>1591</v>
      </c>
      <c r="V72" s="36" t="s">
        <v>1591</v>
      </c>
      <c r="X72" s="36" t="s">
        <v>1767</v>
      </c>
      <c r="Z72" s="36" t="s">
        <v>1591</v>
      </c>
      <c r="AC72" s="43"/>
    </row>
    <row r="73" spans="14:33" ht="12.5" x14ac:dyDescent="0.25">
      <c r="N73" s="39">
        <v>5000</v>
      </c>
      <c r="R73" s="39">
        <v>5000</v>
      </c>
      <c r="V73" s="39">
        <v>15000</v>
      </c>
      <c r="X73" s="39">
        <v>20000</v>
      </c>
      <c r="Z73" s="39">
        <v>20000</v>
      </c>
      <c r="AD73" s="61"/>
    </row>
    <row r="74" spans="14:33" ht="12.5" x14ac:dyDescent="0.25">
      <c r="N74" s="35" t="s">
        <v>1578</v>
      </c>
      <c r="P74" s="41"/>
      <c r="R74" s="35" t="s">
        <v>1578</v>
      </c>
      <c r="V74" s="35" t="s">
        <v>1578</v>
      </c>
      <c r="X74" s="35" t="s">
        <v>1578</v>
      </c>
      <c r="Z74" s="35" t="s">
        <v>1578</v>
      </c>
    </row>
    <row r="75" spans="14:33" ht="12.5" x14ac:dyDescent="0.25">
      <c r="N75" s="36" t="s">
        <v>1768</v>
      </c>
      <c r="R75" s="36" t="s">
        <v>1769</v>
      </c>
      <c r="T75" s="41"/>
      <c r="V75" s="36" t="s">
        <v>1603</v>
      </c>
      <c r="X75" s="36" t="s">
        <v>1714</v>
      </c>
      <c r="Z75" s="36" t="s">
        <v>1770</v>
      </c>
      <c r="AF75" s="61"/>
      <c r="AG75" s="61"/>
    </row>
    <row r="76" spans="14:33" ht="13" x14ac:dyDescent="0.3">
      <c r="N76" s="36" t="s">
        <v>1591</v>
      </c>
      <c r="R76" s="50" t="s">
        <v>1591</v>
      </c>
      <c r="V76" s="39" t="s">
        <v>1771</v>
      </c>
      <c r="X76" s="36" t="s">
        <v>1772</v>
      </c>
      <c r="Z76" s="36" t="s">
        <v>1773</v>
      </c>
    </row>
    <row r="77" spans="14:33" ht="12.5" x14ac:dyDescent="0.25">
      <c r="N77" s="39">
        <v>10000</v>
      </c>
      <c r="P77" s="43"/>
      <c r="R77" s="39">
        <v>5000</v>
      </c>
      <c r="V77" s="39">
        <v>10000</v>
      </c>
      <c r="X77" s="39">
        <v>10000</v>
      </c>
      <c r="Z77" s="39">
        <v>5000</v>
      </c>
      <c r="AC77" s="41"/>
      <c r="AD77" s="61"/>
    </row>
    <row r="78" spans="14:33" ht="12.5" x14ac:dyDescent="0.25">
      <c r="N78" s="35" t="s">
        <v>1578</v>
      </c>
      <c r="R78" s="35" t="s">
        <v>1578</v>
      </c>
      <c r="T78" s="43"/>
      <c r="V78" s="41"/>
      <c r="X78" s="35" t="s">
        <v>1578</v>
      </c>
      <c r="Z78" s="35" t="s">
        <v>1578</v>
      </c>
      <c r="AF78" s="62"/>
      <c r="AG78" s="62"/>
    </row>
    <row r="79" spans="14:33" ht="12.5" x14ac:dyDescent="0.25">
      <c r="N79" s="36" t="s">
        <v>1774</v>
      </c>
      <c r="R79" s="36" t="s">
        <v>1697</v>
      </c>
      <c r="X79" s="36" t="s">
        <v>1775</v>
      </c>
      <c r="Z79" s="36" t="s">
        <v>1730</v>
      </c>
    </row>
    <row r="80" spans="14:33" ht="12.5" x14ac:dyDescent="0.25">
      <c r="N80" s="36" t="s">
        <v>1776</v>
      </c>
      <c r="R80" s="36" t="s">
        <v>1591</v>
      </c>
      <c r="X80" s="36" t="s">
        <v>1591</v>
      </c>
      <c r="Z80" s="36" t="s">
        <v>1591</v>
      </c>
      <c r="AC80" s="43"/>
    </row>
    <row r="81" spans="14:33" ht="12.5" x14ac:dyDescent="0.25">
      <c r="N81" s="39">
        <v>5000</v>
      </c>
      <c r="R81" s="39">
        <v>10000</v>
      </c>
      <c r="V81" s="43"/>
      <c r="X81" s="39">
        <v>10000</v>
      </c>
      <c r="Z81" s="39">
        <v>5000</v>
      </c>
      <c r="AD81" s="61"/>
    </row>
    <row r="82" spans="14:33" ht="12.5" x14ac:dyDescent="0.25">
      <c r="N82" s="35" t="s">
        <v>1578</v>
      </c>
      <c r="P82" s="41"/>
      <c r="X82" s="35" t="s">
        <v>1578</v>
      </c>
      <c r="Z82" s="35" t="s">
        <v>1578</v>
      </c>
      <c r="AD82" t="s">
        <v>1578</v>
      </c>
    </row>
    <row r="83" spans="14:33" ht="12.5" x14ac:dyDescent="0.25">
      <c r="N83" s="36" t="s">
        <v>1777</v>
      </c>
      <c r="R83" s="41"/>
      <c r="T83" s="41"/>
      <c r="X83" s="36" t="s">
        <v>1778</v>
      </c>
      <c r="Z83" s="59" t="s">
        <v>1779</v>
      </c>
      <c r="AD83" s="95" t="s">
        <v>1810</v>
      </c>
      <c r="AF83" s="61"/>
      <c r="AG83" s="61"/>
    </row>
    <row r="84" spans="14:33" ht="12.5" x14ac:dyDescent="0.25">
      <c r="N84" s="36" t="s">
        <v>1780</v>
      </c>
      <c r="R84" s="43"/>
      <c r="X84" s="36" t="s">
        <v>1591</v>
      </c>
      <c r="Z84" s="59" t="s">
        <v>1591</v>
      </c>
      <c r="AD84" s="95" t="s">
        <v>1591</v>
      </c>
    </row>
    <row r="85" spans="14:33" ht="12.5" x14ac:dyDescent="0.25">
      <c r="N85" s="39">
        <v>15000</v>
      </c>
      <c r="P85" s="43"/>
      <c r="V85" s="41"/>
      <c r="X85" s="39">
        <v>10000</v>
      </c>
      <c r="Z85" s="60">
        <v>20000</v>
      </c>
      <c r="AC85" s="41"/>
      <c r="AD85" s="96">
        <v>10000</v>
      </c>
    </row>
    <row r="86" spans="14:33" ht="12.5" x14ac:dyDescent="0.25">
      <c r="N86" s="35" t="s">
        <v>1578</v>
      </c>
      <c r="T86" s="43"/>
      <c r="X86" s="35" t="s">
        <v>1578</v>
      </c>
      <c r="Z86" s="35" t="s">
        <v>1578</v>
      </c>
      <c r="AD86" t="s">
        <v>1578</v>
      </c>
      <c r="AF86" s="62"/>
      <c r="AG86" s="62"/>
    </row>
    <row r="87" spans="14:33" ht="12.5" x14ac:dyDescent="0.25">
      <c r="N87" s="36" t="s">
        <v>1781</v>
      </c>
      <c r="X87" s="36" t="s">
        <v>1782</v>
      </c>
      <c r="Z87" s="36" t="s">
        <v>1783</v>
      </c>
      <c r="AD87" s="95" t="s">
        <v>1811</v>
      </c>
    </row>
    <row r="88" spans="14:33" ht="12.5" x14ac:dyDescent="0.25">
      <c r="N88" s="36" t="s">
        <v>1591</v>
      </c>
      <c r="X88" s="36" t="s">
        <v>1784</v>
      </c>
      <c r="Z88" s="36" t="s">
        <v>1591</v>
      </c>
      <c r="AC88" s="43"/>
      <c r="AD88" s="95" t="s">
        <v>1591</v>
      </c>
    </row>
    <row r="89" spans="14:33" ht="12.5" x14ac:dyDescent="0.25">
      <c r="N89" s="39">
        <v>10000</v>
      </c>
      <c r="R89" s="41"/>
      <c r="V89" s="41"/>
      <c r="X89" s="39">
        <v>15000</v>
      </c>
      <c r="Z89" s="39">
        <v>10000</v>
      </c>
      <c r="AD89" s="96">
        <v>3000</v>
      </c>
    </row>
    <row r="90" spans="14:33" ht="12.5" x14ac:dyDescent="0.25">
      <c r="N90" s="35" t="s">
        <v>1578</v>
      </c>
      <c r="P90" s="41"/>
      <c r="X90" s="35" t="s">
        <v>1578</v>
      </c>
      <c r="Z90" s="35" t="s">
        <v>1578</v>
      </c>
      <c r="AD90" t="s">
        <v>1578</v>
      </c>
    </row>
    <row r="91" spans="14:33" ht="12.5" x14ac:dyDescent="0.25">
      <c r="N91" s="51" t="s">
        <v>1785</v>
      </c>
      <c r="R91" s="41"/>
      <c r="T91" s="41"/>
      <c r="X91" s="36" t="s">
        <v>1786</v>
      </c>
      <c r="Z91" s="36" t="s">
        <v>1714</v>
      </c>
      <c r="AD91" s="95" t="s">
        <v>1812</v>
      </c>
      <c r="AF91" s="61"/>
      <c r="AG91" s="61"/>
    </row>
    <row r="92" spans="14:33" ht="12.5" x14ac:dyDescent="0.25">
      <c r="N92" s="51" t="s">
        <v>1787</v>
      </c>
      <c r="R92" s="43"/>
      <c r="X92" s="36" t="s">
        <v>1788</v>
      </c>
      <c r="Z92" s="36" t="s">
        <v>1591</v>
      </c>
      <c r="AD92" s="95" t="s">
        <v>1591</v>
      </c>
    </row>
    <row r="93" spans="14:33" ht="12.5" x14ac:dyDescent="0.25">
      <c r="N93" s="52">
        <v>5000</v>
      </c>
      <c r="P93" s="43"/>
      <c r="V93" s="41"/>
      <c r="X93" s="39">
        <v>15000</v>
      </c>
      <c r="Z93" s="39">
        <v>5000</v>
      </c>
      <c r="AC93" s="41"/>
      <c r="AD93" s="96">
        <v>7000</v>
      </c>
    </row>
    <row r="94" spans="14:33" ht="12.5" x14ac:dyDescent="0.25">
      <c r="N94" s="35" t="s">
        <v>1578</v>
      </c>
      <c r="T94" s="43"/>
      <c r="X94" s="35" t="s">
        <v>1578</v>
      </c>
      <c r="Z94" s="35" t="s">
        <v>1578</v>
      </c>
      <c r="AD94" t="s">
        <v>1578</v>
      </c>
      <c r="AF94" s="62"/>
      <c r="AG94" s="62"/>
    </row>
    <row r="95" spans="14:33" ht="12.5" x14ac:dyDescent="0.25">
      <c r="N95" s="36" t="s">
        <v>1789</v>
      </c>
      <c r="X95" s="36" t="s">
        <v>1790</v>
      </c>
      <c r="Z95" s="36" t="s">
        <v>1791</v>
      </c>
      <c r="AD95" s="95" t="s">
        <v>1579</v>
      </c>
    </row>
    <row r="96" spans="14:33" ht="12.5" x14ac:dyDescent="0.25">
      <c r="N96" s="36" t="s">
        <v>1591</v>
      </c>
      <c r="V96" s="43"/>
      <c r="X96" s="36" t="s">
        <v>1591</v>
      </c>
      <c r="Z96" s="36" t="s">
        <v>1591</v>
      </c>
      <c r="AC96" s="43"/>
      <c r="AD96" s="95" t="s">
        <v>1591</v>
      </c>
    </row>
    <row r="97" spans="14:33" ht="12.5" x14ac:dyDescent="0.25">
      <c r="N97" s="39">
        <v>10000</v>
      </c>
      <c r="R97" s="41"/>
      <c r="X97" s="39">
        <v>5000</v>
      </c>
      <c r="Z97" s="39">
        <v>5000</v>
      </c>
      <c r="AD97" s="96">
        <v>10000</v>
      </c>
    </row>
    <row r="98" spans="14:33" ht="12.5" x14ac:dyDescent="0.25">
      <c r="P98" s="41"/>
      <c r="X98" s="35" t="s">
        <v>1578</v>
      </c>
      <c r="AD98" t="s">
        <v>1578</v>
      </c>
    </row>
    <row r="99" spans="14:33" ht="12.5" x14ac:dyDescent="0.25">
      <c r="N99" s="35" t="s">
        <v>1578</v>
      </c>
      <c r="R99" s="41"/>
      <c r="T99" s="41"/>
      <c r="X99" s="36" t="s">
        <v>1792</v>
      </c>
      <c r="AD99" s="95" t="s">
        <v>1813</v>
      </c>
      <c r="AF99" s="61"/>
      <c r="AG99" s="61"/>
    </row>
    <row r="100" spans="14:33" ht="12.5" x14ac:dyDescent="0.25">
      <c r="N100" s="36" t="s">
        <v>1793</v>
      </c>
      <c r="R100" s="43"/>
      <c r="X100" s="36" t="s">
        <v>1591</v>
      </c>
      <c r="AD100" s="95" t="s">
        <v>1591</v>
      </c>
    </row>
    <row r="101" spans="14:33" ht="12.5" x14ac:dyDescent="0.25">
      <c r="N101" s="36" t="s">
        <v>1591</v>
      </c>
      <c r="P101" s="43"/>
      <c r="V101" s="41"/>
      <c r="X101" s="39">
        <v>10000</v>
      </c>
      <c r="Z101" s="41"/>
      <c r="AC101" s="41"/>
      <c r="AD101" s="96">
        <v>3000</v>
      </c>
    </row>
    <row r="102" spans="14:33" ht="12.5" x14ac:dyDescent="0.25">
      <c r="N102" s="39">
        <v>10000</v>
      </c>
      <c r="T102" s="43"/>
      <c r="X102" s="43"/>
      <c r="Z102" s="43"/>
      <c r="AF102" s="62"/>
      <c r="AG102" s="62"/>
    </row>
    <row r="104" spans="14:33" ht="13" x14ac:dyDescent="0.3">
      <c r="N104" s="53">
        <f>N102+N97+N89+N85+N81+N77+N73+N69+N65+N61+N57+N53+N49+N45+N41+N37+N33+N29+N25+N21+N17+N13+N9+N5</f>
        <v>180000</v>
      </c>
      <c r="P104" s="53">
        <f>P102+P97+P89+P85+P81+P77+P73+P69+P65+P61+P57+P53+P49+P45+P41+P37+P33+P29+P25+P21+P17+P13+P9+P5</f>
        <v>160000</v>
      </c>
      <c r="R104" s="53">
        <f>R102+R97+R89+R85+R81+R77+R73+R69+R65+R61+R57+R53+R49+R45+R41+R37+R33+R29+R25+R21+R17+R13+R9+R5</f>
        <v>180000</v>
      </c>
      <c r="T104" s="53">
        <f>T102+T97+T89+T85+T81+T77+T73+T69+T65+T61+T57+T53+T49+T45+T41+T37+T33+T29+T25+T21+T17+T13+T9+T5</f>
        <v>165000</v>
      </c>
      <c r="V104" s="53">
        <f>V102+V97+V89+V85+V81+V77+V73+V69+V65+V61+V57+V53+V49+V45+V41+V37+V33+V29+V25+V21+V17+V13+V9+V5</f>
        <v>240000</v>
      </c>
      <c r="X104" s="53">
        <f>X101+X97+X93+X89+X85+X81+X77+X73+X69+X65+X61+X57+X53+X49+X45+X41+X37+X33+X29+X25+X21+X17+X13+X9+X5</f>
        <v>245000</v>
      </c>
      <c r="Z104" s="53">
        <f>Z101+Z97+Z93+Z89+Z85+Z81+Z77+Z73+Z69+Z65+Z61+Z57+Z53+Z49+Z45+Z41+Z37+Z33+Z29+Z25+Z21+Z17+Z13+Z9+Z5</f>
        <v>290000</v>
      </c>
      <c r="AB104" s="53">
        <f>AB101+AB97+AB93+AB89+AB85+AB81+AB77+AB73+AB69+AB65+AB61+AB57+AB53+AB49+AB45+AB41+AB37+AB33+AB29+AB25+AB21+AB17+AB13+AB9+AB5</f>
        <v>50000</v>
      </c>
      <c r="AC104" s="43"/>
      <c r="AD104" s="53">
        <f>AD101+AD97+AD93+AD89+AD85+AD65+AD61+AD57+AD53+AD49+AD45+AD41+AD37+AD33+AD29+AD25+AD21+AD17+AD13+AD9+AD5</f>
        <v>223000</v>
      </c>
      <c r="AF104" s="53">
        <f>AF101+AF97+AF93+AF89+AF85+AF81+AF77+AF73+AF69+AF65+AF61+AF57+AF53+AF49+AF45+AF41+AF37+AF33+AF29+AF25+AF21+AF17+AF13+AF9+AF5</f>
        <v>93000</v>
      </c>
    </row>
    <row r="105" spans="14:33" ht="12.5" x14ac:dyDescent="0.25">
      <c r="R105" s="41"/>
    </row>
    <row r="106" spans="14:33" ht="12.5" x14ac:dyDescent="0.25">
      <c r="P106" s="41"/>
      <c r="X106" s="41"/>
    </row>
    <row r="107" spans="14:33" ht="12.5" x14ac:dyDescent="0.25">
      <c r="R107" s="41"/>
      <c r="T107" s="41"/>
      <c r="X107" s="41"/>
      <c r="Z107" s="41"/>
      <c r="AF107" s="61"/>
      <c r="AG107" s="61"/>
    </row>
    <row r="108" spans="14:33" ht="12.5" x14ac:dyDescent="0.25">
      <c r="R108" s="43"/>
    </row>
    <row r="109" spans="14:33" ht="12.5" x14ac:dyDescent="0.25">
      <c r="P109" s="43"/>
      <c r="V109" s="41"/>
      <c r="X109" s="43"/>
      <c r="AC109" s="41"/>
    </row>
    <row r="110" spans="14:33" ht="12.5" x14ac:dyDescent="0.25">
      <c r="T110" s="43"/>
      <c r="X110" s="43"/>
      <c r="Z110" s="43"/>
      <c r="AF110" s="62"/>
      <c r="AG110" s="62"/>
    </row>
    <row r="112" spans="14:33" ht="12.5" x14ac:dyDescent="0.25">
      <c r="V112" s="43"/>
      <c r="AC112" s="43"/>
    </row>
    <row r="113" spans="16:33" ht="12.5" x14ac:dyDescent="0.25">
      <c r="R113" s="41"/>
    </row>
    <row r="115" spans="16:33" ht="12.5" x14ac:dyDescent="0.25">
      <c r="R115" s="41"/>
      <c r="T115" s="41"/>
      <c r="Z115" s="41"/>
      <c r="AF115" s="61"/>
      <c r="AG115" s="61"/>
    </row>
    <row r="116" spans="16:33" ht="12.5" x14ac:dyDescent="0.25">
      <c r="R116" s="43"/>
    </row>
    <row r="117" spans="16:33" ht="12.5" x14ac:dyDescent="0.25">
      <c r="P117" s="43"/>
      <c r="V117" s="41"/>
      <c r="AC117" s="41"/>
    </row>
    <row r="118" spans="16:33" ht="12.5" x14ac:dyDescent="0.25">
      <c r="R118" s="43"/>
      <c r="T118" s="43"/>
      <c r="Z118" s="43"/>
      <c r="AF118" s="62"/>
      <c r="AG118" s="62"/>
    </row>
    <row r="120" spans="16:33" ht="12.5" x14ac:dyDescent="0.25">
      <c r="V120" s="43"/>
      <c r="AC120" s="43"/>
    </row>
    <row r="122" spans="16:33" ht="12.5" x14ac:dyDescent="0.25">
      <c r="P122" s="41"/>
    </row>
    <row r="123" spans="16:33" ht="12.5" x14ac:dyDescent="0.25">
      <c r="T123" s="41"/>
      <c r="Z123" s="41"/>
      <c r="AF123" s="61"/>
      <c r="AG123" s="61"/>
    </row>
    <row r="125" spans="16:33" ht="12.5" x14ac:dyDescent="0.25">
      <c r="P125" s="43"/>
      <c r="V125" s="41"/>
      <c r="AC125" s="41"/>
    </row>
    <row r="126" spans="16:33" ht="12.5" x14ac:dyDescent="0.25">
      <c r="T126" s="43"/>
      <c r="Z126" s="43"/>
      <c r="AF126" s="62"/>
      <c r="AG126" s="62"/>
    </row>
    <row r="128" spans="16:33" ht="12.5" x14ac:dyDescent="0.25">
      <c r="V128" s="43"/>
      <c r="AC128" s="43"/>
    </row>
    <row r="130" spans="16:33" ht="12.5" x14ac:dyDescent="0.25">
      <c r="P130" s="41"/>
      <c r="AC130" s="35"/>
    </row>
    <row r="131" spans="16:33" ht="12.5" x14ac:dyDescent="0.25">
      <c r="T131" s="41"/>
      <c r="Z131" s="41"/>
      <c r="AC131" s="35"/>
      <c r="AF131" s="61"/>
      <c r="AG131" s="61"/>
    </row>
    <row r="132" spans="16:33" ht="12.5" x14ac:dyDescent="0.25">
      <c r="AC132" s="35"/>
    </row>
    <row r="133" spans="16:33" ht="12.5" x14ac:dyDescent="0.25">
      <c r="P133" s="43"/>
      <c r="AC133" s="41"/>
    </row>
    <row r="134" spans="16:33" ht="12.5" x14ac:dyDescent="0.25">
      <c r="T134" s="43"/>
      <c r="Z134" s="43"/>
      <c r="AC134" s="35"/>
      <c r="AF134" s="62"/>
      <c r="AG134" s="62"/>
    </row>
    <row r="135" spans="16:33" ht="12.5" x14ac:dyDescent="0.25">
      <c r="AC135" s="35"/>
    </row>
    <row r="136" spans="16:33" ht="12.5" x14ac:dyDescent="0.25">
      <c r="V136" s="43"/>
      <c r="AC136" s="43"/>
    </row>
    <row r="138" spans="16:33" ht="12.5" x14ac:dyDescent="0.25">
      <c r="P138" s="41"/>
      <c r="AC138" s="35"/>
    </row>
    <row r="139" spans="16:33" ht="12.5" x14ac:dyDescent="0.25">
      <c r="T139" s="41"/>
      <c r="Z139" s="41"/>
      <c r="AC139" s="35"/>
      <c r="AG139" s="61"/>
    </row>
    <row r="140" spans="16:33" ht="12.5" x14ac:dyDescent="0.25">
      <c r="V140" s="41"/>
      <c r="AC140" s="35"/>
    </row>
    <row r="141" spans="16:33" ht="12.5" x14ac:dyDescent="0.25">
      <c r="P141" s="43"/>
      <c r="AC141" s="41"/>
    </row>
    <row r="142" spans="16:33" ht="12.5" x14ac:dyDescent="0.25">
      <c r="T142" s="43"/>
      <c r="Z142" s="43"/>
      <c r="AC142" s="35"/>
      <c r="AG142" s="62"/>
    </row>
    <row r="143" spans="16:33" ht="12.5" x14ac:dyDescent="0.25">
      <c r="V143" s="43"/>
      <c r="AC143" s="35"/>
    </row>
    <row r="144" spans="16:33" ht="12.5" x14ac:dyDescent="0.25">
      <c r="AC144" s="43"/>
    </row>
    <row r="147" spans="22:33" ht="12.5" x14ac:dyDescent="0.25">
      <c r="Z147" s="41"/>
      <c r="AG147" s="61"/>
    </row>
    <row r="148" spans="22:33" ht="12.5" x14ac:dyDescent="0.25">
      <c r="V148" s="41"/>
    </row>
    <row r="150" spans="22:33" ht="12.5" x14ac:dyDescent="0.25">
      <c r="Z150" s="43"/>
      <c r="AG150" s="62"/>
    </row>
    <row r="151" spans="22:33" ht="12.5" x14ac:dyDescent="0.25">
      <c r="V151" s="43"/>
    </row>
    <row r="155" spans="22:33" ht="12.5" x14ac:dyDescent="0.25">
      <c r="Z155" s="41"/>
      <c r="AG155" s="61"/>
    </row>
    <row r="156" spans="22:33" ht="12.5" x14ac:dyDescent="0.25">
      <c r="V156" s="41"/>
    </row>
    <row r="158" spans="22:33" ht="12.5" x14ac:dyDescent="0.25">
      <c r="Z158" s="43"/>
      <c r="AG158" s="62"/>
    </row>
    <row r="159" spans="22:33" ht="12.5" x14ac:dyDescent="0.25">
      <c r="V159" s="43"/>
    </row>
    <row r="163" spans="22:33" ht="12.5" x14ac:dyDescent="0.25">
      <c r="Z163" s="41"/>
      <c r="AG163" s="61"/>
    </row>
    <row r="164" spans="22:33" ht="12.5" x14ac:dyDescent="0.25">
      <c r="V164" s="41"/>
    </row>
    <row r="166" spans="22:33" ht="12.5" x14ac:dyDescent="0.25">
      <c r="Z166" s="43"/>
      <c r="AG166" s="62"/>
    </row>
    <row r="167" spans="22:33" ht="12.5" x14ac:dyDescent="0.25">
      <c r="V167" s="43"/>
    </row>
    <row r="172" spans="22:33" ht="12.5" x14ac:dyDescent="0.25">
      <c r="V172" s="41"/>
    </row>
    <row r="175" spans="22:33" ht="12.5" x14ac:dyDescent="0.25">
      <c r="V175" s="43"/>
    </row>
    <row r="180" spans="22:22" ht="12.5" x14ac:dyDescent="0.25">
      <c r="V180" s="41"/>
    </row>
    <row r="183" spans="22:22" ht="12.5" x14ac:dyDescent="0.25">
      <c r="V183" s="43"/>
    </row>
    <row r="188" spans="22:22" ht="12.5" x14ac:dyDescent="0.25">
      <c r="V188" s="41"/>
    </row>
    <row r="191" spans="22:22" ht="12.5" x14ac:dyDescent="0.25">
      <c r="V191" s="43"/>
    </row>
    <row r="199" spans="22:22" ht="12.5" x14ac:dyDescent="0.25">
      <c r="V199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7CD2-CBC1-4539-8CEC-424BE973ADEE}">
  <dimension ref="A1:F192"/>
  <sheetViews>
    <sheetView workbookViewId="0">
      <selection activeCell="D2" sqref="D2"/>
    </sheetView>
  </sheetViews>
  <sheetFormatPr baseColWidth="10" defaultRowHeight="12.5" x14ac:dyDescent="0.25"/>
  <cols>
    <col min="1" max="1" width="44.54296875" customWidth="1"/>
  </cols>
  <sheetData>
    <row r="1" spans="1:6" x14ac:dyDescent="0.25">
      <c r="A1" t="s">
        <v>1850</v>
      </c>
    </row>
    <row r="2" spans="1:6" ht="13" x14ac:dyDescent="0.3">
      <c r="A2" s="112" t="s">
        <v>1860</v>
      </c>
      <c r="B2" s="113">
        <f>A6+A14+A22+A30+A45+A53+A61+A69+A77+A85+A93+A101+A109+A117+A125+A133+A141+A149+A157+A165+A173+A181+A189</f>
        <v>215000</v>
      </c>
      <c r="D2">
        <v>2581000</v>
      </c>
      <c r="E2">
        <v>2231589</v>
      </c>
      <c r="F2" s="61"/>
    </row>
    <row r="3" spans="1:6" x14ac:dyDescent="0.25">
      <c r="A3" t="s">
        <v>1578</v>
      </c>
    </row>
    <row r="4" spans="1:6" x14ac:dyDescent="0.25">
      <c r="A4" t="s">
        <v>1642</v>
      </c>
    </row>
    <row r="5" spans="1:6" x14ac:dyDescent="0.25">
      <c r="A5" t="s">
        <v>1591</v>
      </c>
    </row>
    <row r="6" spans="1:6" x14ac:dyDescent="0.25">
      <c r="A6" s="61">
        <v>25000</v>
      </c>
    </row>
    <row r="7" spans="1:6" x14ac:dyDescent="0.25">
      <c r="A7" t="s">
        <v>1851</v>
      </c>
    </row>
    <row r="8" spans="1:6" x14ac:dyDescent="0.25">
      <c r="A8">
        <v>0</v>
      </c>
    </row>
    <row r="9" spans="1:6" x14ac:dyDescent="0.25">
      <c r="A9" s="62">
        <v>0.54027777777777775</v>
      </c>
    </row>
    <row r="11" spans="1:6" x14ac:dyDescent="0.25">
      <c r="A11" t="s">
        <v>1578</v>
      </c>
    </row>
    <row r="12" spans="1:6" x14ac:dyDescent="0.25">
      <c r="A12" t="s">
        <v>1617</v>
      </c>
    </row>
    <row r="13" spans="1:6" x14ac:dyDescent="0.25">
      <c r="A13" t="s">
        <v>1591</v>
      </c>
    </row>
    <row r="14" spans="1:6" x14ac:dyDescent="0.25">
      <c r="A14" s="61">
        <v>10000</v>
      </c>
    </row>
    <row r="15" spans="1:6" x14ac:dyDescent="0.25">
      <c r="A15" t="s">
        <v>1851</v>
      </c>
    </row>
    <row r="16" spans="1:6" x14ac:dyDescent="0.25">
      <c r="A16">
        <v>0</v>
      </c>
    </row>
    <row r="17" spans="1:1" x14ac:dyDescent="0.25">
      <c r="A17" s="62">
        <v>0.54027777777777775</v>
      </c>
    </row>
    <row r="19" spans="1:1" x14ac:dyDescent="0.25">
      <c r="A19" t="s">
        <v>1578</v>
      </c>
    </row>
    <row r="20" spans="1:1" x14ac:dyDescent="0.25">
      <c r="A20" t="s">
        <v>1667</v>
      </c>
    </row>
    <row r="21" spans="1:1" x14ac:dyDescent="0.25">
      <c r="A21" t="s">
        <v>1591</v>
      </c>
    </row>
    <row r="22" spans="1:1" x14ac:dyDescent="0.25">
      <c r="A22" s="61">
        <v>15000</v>
      </c>
    </row>
    <row r="23" spans="1:1" x14ac:dyDescent="0.25">
      <c r="A23" t="s">
        <v>1851</v>
      </c>
    </row>
    <row r="24" spans="1:1" x14ac:dyDescent="0.25">
      <c r="A24">
        <v>0</v>
      </c>
    </row>
    <row r="25" spans="1:1" x14ac:dyDescent="0.25">
      <c r="A25" s="62">
        <v>0.54027777777777775</v>
      </c>
    </row>
    <row r="27" spans="1:1" x14ac:dyDescent="0.25">
      <c r="A27" t="s">
        <v>1578</v>
      </c>
    </row>
    <row r="28" spans="1:1" x14ac:dyDescent="0.25">
      <c r="A28" t="s">
        <v>1809</v>
      </c>
    </row>
    <row r="29" spans="1:1" x14ac:dyDescent="0.25">
      <c r="A29" t="s">
        <v>1591</v>
      </c>
    </row>
    <row r="30" spans="1:1" x14ac:dyDescent="0.25">
      <c r="A30" s="61">
        <v>5000</v>
      </c>
    </row>
    <row r="31" spans="1:1" x14ac:dyDescent="0.25">
      <c r="A31" t="s">
        <v>1851</v>
      </c>
    </row>
    <row r="32" spans="1:1" x14ac:dyDescent="0.25">
      <c r="A32">
        <v>0</v>
      </c>
    </row>
    <row r="33" spans="1:1" x14ac:dyDescent="0.25">
      <c r="A33" s="62">
        <v>0.54027777777777775</v>
      </c>
    </row>
    <row r="34" spans="1:1" x14ac:dyDescent="0.25">
      <c r="A34" t="s">
        <v>1578</v>
      </c>
    </row>
    <row r="35" spans="1:1" x14ac:dyDescent="0.25">
      <c r="A35" t="s">
        <v>1852</v>
      </c>
    </row>
    <row r="36" spans="1:1" x14ac:dyDescent="0.25">
      <c r="A36" t="s">
        <v>1591</v>
      </c>
    </row>
    <row r="37" spans="1:1" x14ac:dyDescent="0.25">
      <c r="A37" s="61">
        <v>10000</v>
      </c>
    </row>
    <row r="38" spans="1:1" x14ac:dyDescent="0.25">
      <c r="A38" t="s">
        <v>1851</v>
      </c>
    </row>
    <row r="39" spans="1:1" x14ac:dyDescent="0.25">
      <c r="A39">
        <v>0</v>
      </c>
    </row>
    <row r="40" spans="1:1" x14ac:dyDescent="0.25">
      <c r="A40" s="62">
        <v>0.54305555555555551</v>
      </c>
    </row>
    <row r="42" spans="1:1" x14ac:dyDescent="0.25">
      <c r="A42" t="s">
        <v>1578</v>
      </c>
    </row>
    <row r="43" spans="1:1" x14ac:dyDescent="0.25">
      <c r="A43" t="s">
        <v>1853</v>
      </c>
    </row>
    <row r="44" spans="1:1" x14ac:dyDescent="0.25">
      <c r="A44" t="s">
        <v>1591</v>
      </c>
    </row>
    <row r="45" spans="1:1" x14ac:dyDescent="0.25">
      <c r="A45" s="61">
        <v>5000</v>
      </c>
    </row>
    <row r="46" spans="1:1" x14ac:dyDescent="0.25">
      <c r="A46" t="s">
        <v>1851</v>
      </c>
    </row>
    <row r="47" spans="1:1" x14ac:dyDescent="0.25">
      <c r="A47">
        <v>0</v>
      </c>
    </row>
    <row r="48" spans="1:1" x14ac:dyDescent="0.25">
      <c r="A48" s="62">
        <v>0.54305555555555551</v>
      </c>
    </row>
    <row r="50" spans="1:1" x14ac:dyDescent="0.25">
      <c r="A50" t="s">
        <v>1578</v>
      </c>
    </row>
    <row r="51" spans="1:1" x14ac:dyDescent="0.25">
      <c r="A51" t="s">
        <v>1854</v>
      </c>
    </row>
    <row r="52" spans="1:1" x14ac:dyDescent="0.25">
      <c r="A52" t="s">
        <v>1591</v>
      </c>
    </row>
    <row r="53" spans="1:1" x14ac:dyDescent="0.25">
      <c r="A53" s="61">
        <v>10000</v>
      </c>
    </row>
    <row r="54" spans="1:1" x14ac:dyDescent="0.25">
      <c r="A54" t="s">
        <v>1851</v>
      </c>
    </row>
    <row r="55" spans="1:1" x14ac:dyDescent="0.25">
      <c r="A55">
        <v>0</v>
      </c>
    </row>
    <row r="56" spans="1:1" x14ac:dyDescent="0.25">
      <c r="A56" s="62">
        <v>0.54236111111111107</v>
      </c>
    </row>
    <row r="58" spans="1:1" x14ac:dyDescent="0.25">
      <c r="A58" t="s">
        <v>1578</v>
      </c>
    </row>
    <row r="59" spans="1:1" x14ac:dyDescent="0.25">
      <c r="A59" t="s">
        <v>1685</v>
      </c>
    </row>
    <row r="60" spans="1:1" x14ac:dyDescent="0.25">
      <c r="A60" t="s">
        <v>1591</v>
      </c>
    </row>
    <row r="61" spans="1:1" x14ac:dyDescent="0.25">
      <c r="A61" s="61">
        <v>5000</v>
      </c>
    </row>
    <row r="62" spans="1:1" x14ac:dyDescent="0.25">
      <c r="A62" t="s">
        <v>1851</v>
      </c>
    </row>
    <row r="63" spans="1:1" x14ac:dyDescent="0.25">
      <c r="A63">
        <v>0</v>
      </c>
    </row>
    <row r="64" spans="1:1" x14ac:dyDescent="0.25">
      <c r="A64" s="62">
        <v>0.54236111111111107</v>
      </c>
    </row>
    <row r="66" spans="1:1" x14ac:dyDescent="0.25">
      <c r="A66" t="s">
        <v>1578</v>
      </c>
    </row>
    <row r="67" spans="1:1" x14ac:dyDescent="0.25">
      <c r="A67" t="s">
        <v>1855</v>
      </c>
    </row>
    <row r="68" spans="1:1" x14ac:dyDescent="0.25">
      <c r="A68" t="s">
        <v>1591</v>
      </c>
    </row>
    <row r="69" spans="1:1" x14ac:dyDescent="0.25">
      <c r="A69" s="61">
        <v>20000</v>
      </c>
    </row>
    <row r="70" spans="1:1" x14ac:dyDescent="0.25">
      <c r="A70" t="s">
        <v>1851</v>
      </c>
    </row>
    <row r="71" spans="1:1" x14ac:dyDescent="0.25">
      <c r="A71">
        <v>0</v>
      </c>
    </row>
    <row r="72" spans="1:1" x14ac:dyDescent="0.25">
      <c r="A72" s="62">
        <v>0.54236111111111107</v>
      </c>
    </row>
    <row r="74" spans="1:1" x14ac:dyDescent="0.25">
      <c r="A74" t="s">
        <v>1578</v>
      </c>
    </row>
    <row r="75" spans="1:1" x14ac:dyDescent="0.25">
      <c r="A75" t="s">
        <v>1646</v>
      </c>
    </row>
    <row r="76" spans="1:1" x14ac:dyDescent="0.25">
      <c r="A76" t="s">
        <v>1591</v>
      </c>
    </row>
    <row r="77" spans="1:1" x14ac:dyDescent="0.25">
      <c r="A77" s="61">
        <v>5000</v>
      </c>
    </row>
    <row r="78" spans="1:1" x14ac:dyDescent="0.25">
      <c r="A78" t="s">
        <v>1851</v>
      </c>
    </row>
    <row r="79" spans="1:1" x14ac:dyDescent="0.25">
      <c r="A79">
        <v>0</v>
      </c>
    </row>
    <row r="80" spans="1:1" x14ac:dyDescent="0.25">
      <c r="A80" s="62">
        <v>0.54166666666666663</v>
      </c>
    </row>
    <row r="82" spans="1:1" x14ac:dyDescent="0.25">
      <c r="A82" t="s">
        <v>1578</v>
      </c>
    </row>
    <row r="83" spans="1:1" x14ac:dyDescent="0.25">
      <c r="A83" t="s">
        <v>1856</v>
      </c>
    </row>
    <row r="84" spans="1:1" x14ac:dyDescent="0.25">
      <c r="A84" t="s">
        <v>1591</v>
      </c>
    </row>
    <row r="85" spans="1:1" x14ac:dyDescent="0.25">
      <c r="A85" s="61">
        <v>10000</v>
      </c>
    </row>
    <row r="86" spans="1:1" x14ac:dyDescent="0.25">
      <c r="A86" t="s">
        <v>1851</v>
      </c>
    </row>
    <row r="87" spans="1:1" x14ac:dyDescent="0.25">
      <c r="A87">
        <v>0</v>
      </c>
    </row>
    <row r="88" spans="1:1" x14ac:dyDescent="0.25">
      <c r="A88" s="62">
        <v>0.54166666666666663</v>
      </c>
    </row>
    <row r="90" spans="1:1" x14ac:dyDescent="0.25">
      <c r="A90" t="s">
        <v>1578</v>
      </c>
    </row>
    <row r="91" spans="1:1" x14ac:dyDescent="0.25">
      <c r="A91" t="s">
        <v>1733</v>
      </c>
    </row>
    <row r="92" spans="1:1" x14ac:dyDescent="0.25">
      <c r="A92" t="s">
        <v>1591</v>
      </c>
    </row>
    <row r="93" spans="1:1" x14ac:dyDescent="0.25">
      <c r="A93" s="61">
        <v>10000</v>
      </c>
    </row>
    <row r="94" spans="1:1" x14ac:dyDescent="0.25">
      <c r="A94" t="s">
        <v>1851</v>
      </c>
    </row>
    <row r="95" spans="1:1" x14ac:dyDescent="0.25">
      <c r="A95">
        <v>0</v>
      </c>
    </row>
    <row r="96" spans="1:1" x14ac:dyDescent="0.25">
      <c r="A96" s="62">
        <v>0.54166666666666663</v>
      </c>
    </row>
    <row r="98" spans="1:1" x14ac:dyDescent="0.25">
      <c r="A98" t="s">
        <v>1578</v>
      </c>
    </row>
    <row r="99" spans="1:1" x14ac:dyDescent="0.25">
      <c r="A99" t="s">
        <v>1823</v>
      </c>
    </row>
    <row r="100" spans="1:1" x14ac:dyDescent="0.25">
      <c r="A100" t="s">
        <v>1591</v>
      </c>
    </row>
    <row r="101" spans="1:1" x14ac:dyDescent="0.25">
      <c r="A101" s="61">
        <v>5000</v>
      </c>
    </row>
    <row r="102" spans="1:1" x14ac:dyDescent="0.25">
      <c r="A102" t="s">
        <v>1851</v>
      </c>
    </row>
    <row r="103" spans="1:1" x14ac:dyDescent="0.25">
      <c r="A103">
        <v>0</v>
      </c>
    </row>
    <row r="104" spans="1:1" x14ac:dyDescent="0.25">
      <c r="A104" s="62">
        <v>0.54166666666666663</v>
      </c>
    </row>
    <row r="106" spans="1:1" x14ac:dyDescent="0.25">
      <c r="A106" t="s">
        <v>1578</v>
      </c>
    </row>
    <row r="107" spans="1:1" x14ac:dyDescent="0.25">
      <c r="A107" t="s">
        <v>1645</v>
      </c>
    </row>
    <row r="108" spans="1:1" x14ac:dyDescent="0.25">
      <c r="A108" t="s">
        <v>1591</v>
      </c>
    </row>
    <row r="109" spans="1:1" x14ac:dyDescent="0.25">
      <c r="A109" s="61">
        <v>10000</v>
      </c>
    </row>
    <row r="110" spans="1:1" x14ac:dyDescent="0.25">
      <c r="A110" t="s">
        <v>1851</v>
      </c>
    </row>
    <row r="111" spans="1:1" x14ac:dyDescent="0.25">
      <c r="A111">
        <v>0</v>
      </c>
    </row>
    <row r="112" spans="1:1" x14ac:dyDescent="0.25">
      <c r="A112" s="62">
        <v>0.54166666666666663</v>
      </c>
    </row>
    <row r="114" spans="1:1" x14ac:dyDescent="0.25">
      <c r="A114" t="s">
        <v>1578</v>
      </c>
    </row>
    <row r="115" spans="1:1" x14ac:dyDescent="0.25">
      <c r="A115" t="s">
        <v>1857</v>
      </c>
    </row>
    <row r="116" spans="1:1" x14ac:dyDescent="0.25">
      <c r="A116" t="s">
        <v>1591</v>
      </c>
    </row>
    <row r="117" spans="1:1" x14ac:dyDescent="0.25">
      <c r="A117" s="61">
        <v>5000</v>
      </c>
    </row>
    <row r="118" spans="1:1" x14ac:dyDescent="0.25">
      <c r="A118" t="s">
        <v>1851</v>
      </c>
    </row>
    <row r="119" spans="1:1" x14ac:dyDescent="0.25">
      <c r="A119">
        <v>0</v>
      </c>
    </row>
    <row r="120" spans="1:1" x14ac:dyDescent="0.25">
      <c r="A120" s="62">
        <v>0.54166666666666663</v>
      </c>
    </row>
    <row r="122" spans="1:1" x14ac:dyDescent="0.25">
      <c r="A122" t="s">
        <v>1578</v>
      </c>
    </row>
    <row r="123" spans="1:1" x14ac:dyDescent="0.25">
      <c r="A123" t="s">
        <v>1858</v>
      </c>
    </row>
    <row r="124" spans="1:1" x14ac:dyDescent="0.25">
      <c r="A124" t="s">
        <v>1591</v>
      </c>
    </row>
    <row r="125" spans="1:1" x14ac:dyDescent="0.25">
      <c r="A125" s="61">
        <v>1000</v>
      </c>
    </row>
    <row r="126" spans="1:1" x14ac:dyDescent="0.25">
      <c r="A126" t="s">
        <v>1851</v>
      </c>
    </row>
    <row r="127" spans="1:1" x14ac:dyDescent="0.25">
      <c r="A127">
        <v>0</v>
      </c>
    </row>
    <row r="128" spans="1:1" x14ac:dyDescent="0.25">
      <c r="A128" s="62">
        <v>0.54097222222222219</v>
      </c>
    </row>
    <row r="130" spans="1:1" x14ac:dyDescent="0.25">
      <c r="A130" t="s">
        <v>1578</v>
      </c>
    </row>
    <row r="131" spans="1:1" x14ac:dyDescent="0.25">
      <c r="A131" t="s">
        <v>1707</v>
      </c>
    </row>
    <row r="132" spans="1:1" x14ac:dyDescent="0.25">
      <c r="A132" t="s">
        <v>1591</v>
      </c>
    </row>
    <row r="133" spans="1:1" x14ac:dyDescent="0.25">
      <c r="A133" s="61">
        <v>5000</v>
      </c>
    </row>
    <row r="134" spans="1:1" x14ac:dyDescent="0.25">
      <c r="A134" t="s">
        <v>1851</v>
      </c>
    </row>
    <row r="135" spans="1:1" x14ac:dyDescent="0.25">
      <c r="A135">
        <v>0</v>
      </c>
    </row>
    <row r="136" spans="1:1" x14ac:dyDescent="0.25">
      <c r="A136" s="62">
        <v>0.54097222222222219</v>
      </c>
    </row>
    <row r="138" spans="1:1" x14ac:dyDescent="0.25">
      <c r="A138" t="s">
        <v>1578</v>
      </c>
    </row>
    <row r="139" spans="1:1" x14ac:dyDescent="0.25">
      <c r="A139" t="s">
        <v>1751</v>
      </c>
    </row>
    <row r="140" spans="1:1" x14ac:dyDescent="0.25">
      <c r="A140" t="s">
        <v>1591</v>
      </c>
    </row>
    <row r="141" spans="1:1" x14ac:dyDescent="0.25">
      <c r="A141" s="61">
        <v>10000</v>
      </c>
    </row>
    <row r="142" spans="1:1" x14ac:dyDescent="0.25">
      <c r="A142" t="s">
        <v>1851</v>
      </c>
    </row>
    <row r="143" spans="1:1" x14ac:dyDescent="0.25">
      <c r="A143">
        <v>0</v>
      </c>
    </row>
    <row r="144" spans="1:1" x14ac:dyDescent="0.25">
      <c r="A144" s="62">
        <v>0.54097222222222219</v>
      </c>
    </row>
    <row r="146" spans="1:1" x14ac:dyDescent="0.25">
      <c r="A146" t="s">
        <v>1578</v>
      </c>
    </row>
    <row r="147" spans="1:1" x14ac:dyDescent="0.25">
      <c r="A147" t="s">
        <v>1859</v>
      </c>
    </row>
    <row r="148" spans="1:1" x14ac:dyDescent="0.25">
      <c r="A148" t="s">
        <v>1591</v>
      </c>
    </row>
    <row r="149" spans="1:1" x14ac:dyDescent="0.25">
      <c r="A149" s="61">
        <v>10000</v>
      </c>
    </row>
    <row r="150" spans="1:1" x14ac:dyDescent="0.25">
      <c r="A150" t="s">
        <v>1851</v>
      </c>
    </row>
    <row r="151" spans="1:1" x14ac:dyDescent="0.25">
      <c r="A151">
        <v>0</v>
      </c>
    </row>
    <row r="152" spans="1:1" x14ac:dyDescent="0.25">
      <c r="A152" s="62">
        <v>0.54097222222222219</v>
      </c>
    </row>
    <row r="154" spans="1:1" x14ac:dyDescent="0.25">
      <c r="A154" t="s">
        <v>1578</v>
      </c>
    </row>
    <row r="155" spans="1:1" x14ac:dyDescent="0.25">
      <c r="A155" t="s">
        <v>1674</v>
      </c>
    </row>
    <row r="156" spans="1:1" x14ac:dyDescent="0.25">
      <c r="A156" t="s">
        <v>1591</v>
      </c>
    </row>
    <row r="157" spans="1:1" x14ac:dyDescent="0.25">
      <c r="A157" s="61">
        <v>10000</v>
      </c>
    </row>
    <row r="158" spans="1:1" x14ac:dyDescent="0.25">
      <c r="A158" t="s">
        <v>1851</v>
      </c>
    </row>
    <row r="159" spans="1:1" x14ac:dyDescent="0.25">
      <c r="A159">
        <v>0</v>
      </c>
    </row>
    <row r="160" spans="1:1" x14ac:dyDescent="0.25">
      <c r="A160" s="62">
        <v>0.54097222222222219</v>
      </c>
    </row>
    <row r="162" spans="1:1" x14ac:dyDescent="0.25">
      <c r="A162" t="s">
        <v>1578</v>
      </c>
    </row>
    <row r="163" spans="1:1" x14ac:dyDescent="0.25">
      <c r="A163" t="s">
        <v>1581</v>
      </c>
    </row>
    <row r="164" spans="1:1" x14ac:dyDescent="0.25">
      <c r="A164" t="s">
        <v>1591</v>
      </c>
    </row>
    <row r="165" spans="1:1" x14ac:dyDescent="0.25">
      <c r="A165" s="61">
        <v>5000</v>
      </c>
    </row>
    <row r="166" spans="1:1" x14ac:dyDescent="0.25">
      <c r="A166" t="s">
        <v>1851</v>
      </c>
    </row>
    <row r="167" spans="1:1" x14ac:dyDescent="0.25">
      <c r="A167">
        <v>0</v>
      </c>
    </row>
    <row r="168" spans="1:1" x14ac:dyDescent="0.25">
      <c r="A168" s="62">
        <v>0.54097222222222219</v>
      </c>
    </row>
    <row r="170" spans="1:1" x14ac:dyDescent="0.25">
      <c r="A170" t="s">
        <v>1578</v>
      </c>
    </row>
    <row r="171" spans="1:1" x14ac:dyDescent="0.25">
      <c r="A171" t="s">
        <v>1803</v>
      </c>
    </row>
    <row r="172" spans="1:1" x14ac:dyDescent="0.25">
      <c r="A172" t="s">
        <v>1591</v>
      </c>
    </row>
    <row r="173" spans="1:1" x14ac:dyDescent="0.25">
      <c r="A173" s="61">
        <v>20000</v>
      </c>
    </row>
    <row r="174" spans="1:1" x14ac:dyDescent="0.25">
      <c r="A174" t="s">
        <v>1851</v>
      </c>
    </row>
    <row r="175" spans="1:1" x14ac:dyDescent="0.25">
      <c r="A175">
        <v>0</v>
      </c>
    </row>
    <row r="176" spans="1:1" x14ac:dyDescent="0.25">
      <c r="A176" s="62">
        <v>0.54097222222222219</v>
      </c>
    </row>
    <row r="177" spans="1:1" x14ac:dyDescent="0.25">
      <c r="A177" t="s">
        <v>1849</v>
      </c>
    </row>
    <row r="178" spans="1:1" x14ac:dyDescent="0.25">
      <c r="A178" t="s">
        <v>1578</v>
      </c>
    </row>
    <row r="179" spans="1:1" x14ac:dyDescent="0.25">
      <c r="A179" t="s">
        <v>1758</v>
      </c>
    </row>
    <row r="180" spans="1:1" x14ac:dyDescent="0.25">
      <c r="A180" t="s">
        <v>1591</v>
      </c>
    </row>
    <row r="181" spans="1:1" x14ac:dyDescent="0.25">
      <c r="A181" s="61">
        <v>4000</v>
      </c>
    </row>
    <row r="182" spans="1:1" x14ac:dyDescent="0.25">
      <c r="A182" t="s">
        <v>1851</v>
      </c>
    </row>
    <row r="183" spans="1:1" x14ac:dyDescent="0.25">
      <c r="A183">
        <v>0</v>
      </c>
    </row>
    <row r="184" spans="1:1" x14ac:dyDescent="0.25">
      <c r="A184" s="62">
        <v>0.54097222222222219</v>
      </c>
    </row>
    <row r="186" spans="1:1" x14ac:dyDescent="0.25">
      <c r="A186" t="s">
        <v>1578</v>
      </c>
    </row>
    <row r="187" spans="1:1" x14ac:dyDescent="0.25">
      <c r="A187" t="s">
        <v>1677</v>
      </c>
    </row>
    <row r="188" spans="1:1" x14ac:dyDescent="0.25">
      <c r="A188" t="s">
        <v>1591</v>
      </c>
    </row>
    <row r="189" spans="1:1" x14ac:dyDescent="0.25">
      <c r="A189" s="61">
        <v>10000</v>
      </c>
    </row>
    <row r="190" spans="1:1" x14ac:dyDescent="0.25">
      <c r="A190" t="s">
        <v>1851</v>
      </c>
    </row>
    <row r="191" spans="1:1" x14ac:dyDescent="0.25">
      <c r="A191">
        <v>0</v>
      </c>
    </row>
    <row r="192" spans="1:1" x14ac:dyDescent="0.25">
      <c r="A192" s="62">
        <v>0.54097222222222219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Total</vt:lpstr>
      <vt:lpstr>Respuestas de formulario 1</vt:lpstr>
      <vt:lpstr>Plataforma</vt:lpstr>
      <vt:lpstr>Cartola</vt:lpstr>
      <vt:lpstr>Ofrenda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nrubilar</dc:creator>
  <cp:lastModifiedBy>Noemí Rubilar</cp:lastModifiedBy>
  <dcterms:created xsi:type="dcterms:W3CDTF">2025-05-25T04:38:53Z</dcterms:created>
  <dcterms:modified xsi:type="dcterms:W3CDTF">2026-08-20T03:09:31Z</dcterms:modified>
</cp:coreProperties>
</file>